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All Content" sheetId="2" r:id="rId2"/>
    <sheet name="Courses &amp; Playlists" sheetId="3" r:id="rId3"/>
    <sheet name="Projects &amp; Use Cases" sheetId="4" r:id="rId4"/>
    <sheet name="English" sheetId="5" r:id="rId5"/>
    <sheet name="Hindi" sheetId="6" r:id="rId6"/>
    <sheet name="Bangla" sheetId="7" r:id="rId7"/>
  </sheets>
</workbook>
</file>

<file path=xl/styles.xml><?xml version="1.0" encoding="utf-8"?>
<styleSheet xmlns="http://schemas.openxmlformats.org/spreadsheetml/2006/main">
  <numFmts count="0"/>
  <fonts count="3">
    <font>
      <sz val="11"/>
      <name val="Calibri"/>
    </font>
    <font>
      <b/>
      <sz val="11"/>
      <color rgb="FFFFFFFF"/>
      <name val="Calibri"/>
    </font>
    <font>
      <u/>
      <sz val="11"/>
      <color rgb="FF0563C1"/>
      <name val="Calibri"/>
    </font>
  </fonts>
  <fills count="3">
    <fill>
      <patternFill patternType="none"/>
    </fill>
    <fill>
      <patternFill patternType="gray125"/>
    </fill>
    <fill>
      <patternFill patternType="solid">
        <fgColor rgb="FF0066FF"/>
      </patternFill>
    </fill>
  </fills>
  <borders count="1">
    <border/>
  </borders>
  <cellStyleXfs count="1">
    <xf/>
  </cellStyleXfs>
  <cellXfs count="4">
    <xf/>
    <xf fontId="1" fillId="2" applyFont="1" applyFill="1"/>
    <xf fontId="2" applyFont="1"/>
    <xf numFmtId="3" applyNumberFormat="1"/>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22" customWidth="1"/>
    <col min="2" max="2" width="10" customWidth="1"/>
    <col min="3" max="3" width="10" customWidth="1"/>
    <col min="4" max="4" width="10" customWidth="1"/>
    <col min="5" max="5" width="10" customWidth="1"/>
  </cols>
  <sheetData>
    <row r="1">
      <c r="A1" s="1" t="inlineStr">
        <is>
          <t>Category</t>
        </is>
      </c>
      <c r="B1" s="1" t="inlineStr">
        <is>
          <t>English</t>
        </is>
      </c>
      <c r="C1" s="1" t="inlineStr">
        <is>
          <t>Hindi</t>
        </is>
      </c>
      <c r="D1" s="1" t="inlineStr">
        <is>
          <t>Bangla</t>
        </is>
      </c>
      <c r="E1" s="1" t="inlineStr">
        <is>
          <t>Total</t>
        </is>
      </c>
    </row>
    <row r="2">
      <c r="A2" t="inlineStr">
        <is>
          <t xml:space="preserve">Course</t>
        </is>
      </c>
      <c r="B2" s="3">
        <v>58</v>
      </c>
      <c r="C2" s="3">
        <v>8</v>
      </c>
      <c r="D2" s="3">
        <v>0</v>
      </c>
      <c r="E2" s="3">
        <v>66</v>
      </c>
    </row>
    <row r="3">
      <c r="A3" t="inlineStr">
        <is>
          <t xml:space="preserve">Project / Use case</t>
        </is>
      </c>
      <c r="B3" s="3">
        <v>54</v>
      </c>
      <c r="C3" s="3">
        <v>3</v>
      </c>
      <c r="D3" s="3">
        <v>2</v>
      </c>
      <c r="E3" s="3">
        <v>59</v>
      </c>
    </row>
    <row r="4">
      <c r="A4" t="inlineStr">
        <is>
          <t xml:space="preserve">Certification</t>
        </is>
      </c>
      <c r="B4" s="3">
        <v>19</v>
      </c>
      <c r="C4" s="3">
        <v>0</v>
      </c>
      <c r="D4" s="3">
        <v>1</v>
      </c>
      <c r="E4" s="3">
        <v>20</v>
      </c>
    </row>
    <row r="5">
      <c r="A5" t="inlineStr">
        <is>
          <t xml:space="preserve">Interview prep</t>
        </is>
      </c>
      <c r="B5" s="3">
        <v>15</v>
      </c>
      <c r="C5" s="3">
        <v>0</v>
      </c>
      <c r="D5" s="3">
        <v>0</v>
      </c>
      <c r="E5" s="3">
        <v>15</v>
      </c>
    </row>
    <row r="6">
      <c r="A6" t="inlineStr">
        <is>
          <t xml:space="preserve">Tutorial</t>
        </is>
      </c>
      <c r="B6" s="3">
        <v>109</v>
      </c>
      <c r="C6" s="3">
        <v>9</v>
      </c>
      <c r="D6" s="3">
        <v>4</v>
      </c>
      <c r="E6" s="3">
        <v>122</v>
      </c>
    </row>
    <row r="7">
      <c r="A7" t="inlineStr">
        <is>
          <t xml:space="preserve">Total</t>
        </is>
      </c>
      <c r="B7" s="3">
        <v>255</v>
      </c>
      <c r="C7" s="3">
        <v>20</v>
      </c>
      <c r="D7" s="3">
        <v>7</v>
      </c>
      <c r="E7" s="3">
        <v>282</v>
      </c>
    </row>
    <row r="8">
      <c r="A8" t="inlineStr">
        <is>
          <t xml:space="preserve"/>
        </is>
      </c>
      <c r="B8" t="inlineStr">
        <is>
          <t xml:space="preserve"/>
        </is>
      </c>
      <c r="C8" t="inlineStr">
        <is>
          <t xml:space="preserve"/>
        </is>
      </c>
      <c r="D8" t="inlineStr">
        <is>
          <t xml:space="preserve"/>
        </is>
      </c>
      <c r="E8" t="inlineStr">
        <is>
          <t xml:space="preserve"/>
        </is>
      </c>
    </row>
    <row r="9">
      <c r="A9" t="inlineStr">
        <is>
          <t xml:space="preserve">Videos</t>
        </is>
      </c>
      <c r="B9" s="3">
        <v>196</v>
      </c>
      <c r="C9" s="3">
        <v>13</v>
      </c>
      <c r="D9" s="3">
        <v>6</v>
      </c>
      <c r="E9" s="3">
        <v>215</v>
      </c>
    </row>
    <row r="10">
      <c r="A10" t="inlineStr">
        <is>
          <t xml:space="preserve">Playlists</t>
        </is>
      </c>
      <c r="B10" s="3">
        <v>59</v>
      </c>
      <c r="C10" s="3">
        <v>7</v>
      </c>
      <c r="D10" s="3">
        <v>1</v>
      </c>
      <c r="E10" s="3">
        <v>67</v>
      </c>
    </row>
    <row r="11">
      <c r="A11" t="inlineStr">
        <is>
          <t xml:space="preserve"/>
        </is>
      </c>
      <c r="B11" t="inlineStr">
        <is>
          <t xml:space="preserve"/>
        </is>
      </c>
      <c r="C11" t="inlineStr">
        <is>
          <t xml:space="preserve"/>
        </is>
      </c>
      <c r="D11" t="inlineStr">
        <is>
          <t xml:space="preserve"/>
        </is>
      </c>
      <c r="E11" t="inlineStr">
        <is>
          <t xml:space="preserve"/>
        </is>
      </c>
    </row>
    <row r="12">
      <c r="A12" t="inlineStr">
        <is>
          <t xml:space="preserve">Source: YouTube search results, collected 2026-09-28. Language detected from title/description/channel.</t>
        </is>
      </c>
      <c r="B12" t="inlineStr">
        <is>
          <t xml:space="preserve"/>
        </is>
      </c>
      <c r="C12" t="inlineStr">
        <is>
          <t xml:space="preserve"/>
        </is>
      </c>
      <c r="D12" t="inlineStr">
        <is>
          <t xml:space="preserve"/>
        </is>
      </c>
      <c r="E12" t="inlineStr">
        <is>
          <t xml:space="preserve"/>
        </is>
      </c>
    </row>
  </sheetData>
  <autoFilter ref="A1:E1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5" customWidth="1"/>
    <col min="2" max="2" width="9" customWidth="1"/>
    <col min="3" max="3" width="10" customWidth="1"/>
    <col min="4" max="4" width="18" customWidth="1"/>
    <col min="5" max="5" width="24" customWidth="1"/>
    <col min="6" max="6" width="60" customWidth="1"/>
    <col min="7" max="7" width="26" customWidth="1"/>
    <col min="8" max="8" width="12" customWidth="1"/>
    <col min="9" max="9" width="16" customWidth="1"/>
    <col min="10" max="10" width="14" customWidth="1"/>
    <col min="11" max="11" width="48" customWidth="1"/>
    <col min="12" max="12" width="70" customWidth="1"/>
    <col min="13" max="13" width="40" customWidth="1"/>
  </cols>
  <sheetData>
    <row r="1">
      <c r="A1" s="1" t="inlineStr">
        <is>
          <t>#</t>
        </is>
      </c>
      <c r="B1" s="1" t="inlineStr">
        <is>
          <t>Type</t>
        </is>
      </c>
      <c r="C1" s="1" t="inlineStr">
        <is>
          <t>Language</t>
        </is>
      </c>
      <c r="D1" s="1" t="inlineStr">
        <is>
          <t>Category</t>
        </is>
      </c>
      <c r="E1" s="1" t="inlineStr">
        <is>
          <t>Topic Areas</t>
        </is>
      </c>
      <c r="F1" s="1" t="inlineStr">
        <is>
          <t>Title</t>
        </is>
      </c>
      <c r="G1" s="1" t="inlineStr">
        <is>
          <t>Channel</t>
        </is>
      </c>
      <c r="H1" s="1" t="inlineStr">
        <is>
          <t>Views</t>
        </is>
      </c>
      <c r="I1" s="1" t="inlineStr">
        <is>
          <t>Published</t>
        </is>
      </c>
      <c r="J1" s="1" t="inlineStr">
        <is>
          <t>Duration / Videos</t>
        </is>
      </c>
      <c r="K1" s="1" t="inlineStr">
        <is>
          <t>Link</t>
        </is>
      </c>
      <c r="L1" s="1" t="inlineStr">
        <is>
          <t>Description (snippet)</t>
        </is>
      </c>
      <c r="M1" s="1" t="inlineStr">
        <is>
          <t>Found via search</t>
        </is>
      </c>
    </row>
    <row r="2">
      <c r="A2" s="3">
        <v>1</v>
      </c>
      <c r="B2" t="inlineStr">
        <is>
          <t xml:space="preserve">Video</t>
        </is>
      </c>
      <c r="C2" t="inlineStr">
        <is>
          <t xml:space="preserve">Bangla</t>
        </is>
      </c>
      <c r="D2" t="inlineStr">
        <is>
          <t xml:space="preserve">Project / Use case</t>
        </is>
      </c>
      <c r="E2" t="inlineStr">
        <is>
          <t xml:space="preserve"/>
        </is>
      </c>
      <c r="F2" t="inlineStr">
        <is>
          <t xml:space="preserve">পাওয়ার বিআই সম্পূর্ণ বাংলা টিউটোরিয়াল | সম্পূর্ণ পাওয়ার বিআই টিউটোরিয়াল বাংলায়</t>
        </is>
      </c>
      <c r="G2" t="inlineStr">
        <is>
          <t xml:space="preserve">Rayhan Tanjim</t>
        </is>
      </c>
      <c r="H2" s="3">
        <v>20299</v>
      </c>
      <c r="I2" t="inlineStr">
        <is>
          <t xml:space="preserve">8mo ago</t>
        </is>
      </c>
      <c r="J2" t="inlineStr">
        <is>
          <t xml:space="preserve">18:08</t>
        </is>
      </c>
      <c r="K2" s="2" t="str">
        <f>HYPERLINK("https://www.youtube.com/watch?v=fZQ-OSQ_ZxM","https://www.youtube.com/watch?v=fZQ-OSQ_ZxM")</f>
        <v>https://www.youtube.com/watch?v=fZQ-OSQ_ZxM</v>
      </c>
      <c r="L2" t="inlineStr">
        <is>
          <t xml:space="preserve">Power BI Full Bangla Tutorial | Complete Power BI Tutorial in Bangla ✅ আমার কোর্স সম্পর্কে জানতে Whatsapp করুনঃ +8801515 ...</t>
        </is>
      </c>
      <c r="M2" t="inlineStr">
        <is>
          <t xml:space="preserve">power automate bangla ; microsoft power automate bangla tutorial</t>
        </is>
      </c>
    </row>
    <row r="3">
      <c r="A3" s="3">
        <v>2</v>
      </c>
      <c r="B3" t="inlineStr">
        <is>
          <t xml:space="preserve">Playlist</t>
        </is>
      </c>
      <c r="C3" t="inlineStr">
        <is>
          <t xml:space="preserve">Bangla</t>
        </is>
      </c>
      <c r="D3" t="inlineStr">
        <is>
          <t xml:space="preserve">Project / Use case</t>
        </is>
      </c>
      <c r="E3" t="inlineStr">
        <is>
          <t xml:space="preserve">AI/Copilot</t>
        </is>
      </c>
      <c r="F3" t="inlineStr">
        <is>
          <t xml:space="preserve">AI Automation Full Course Bangla (N8N)</t>
        </is>
      </c>
      <c r="G3" t="inlineStr">
        <is>
          <t xml:space="preserve">Atiqur Siam</t>
        </is>
      </c>
      <c r="H3" t="inlineStr">
        <is>
          <t xml:space="preserve"/>
        </is>
      </c>
      <c r="I3" t="inlineStr">
        <is>
          <t xml:space="preserve"/>
        </is>
      </c>
      <c r="J3" t="inlineStr">
        <is>
          <t xml:space="preserve">40 videos</t>
        </is>
      </c>
      <c r="K3" s="2" t="str">
        <f>HYPERLINK("https://www.youtube.com/playlist?list=PLes_An_ceiEjmWdbwZq4imYAabnh3Etce","https://www.youtube.com/playlist?list=PLes_An_ceiEjmWdbwZq4imYAabnh3Etce")</f>
        <v>https://www.youtube.com/playlist?list=PLes_An_ceiEjmWdbwZq4imYAabnh3Etce</v>
      </c>
      <c r="L3" t="inlineStr">
        <is>
          <t xml:space="preserve">Playlist | Why You Need to Learn n8n in 2026 | Complete Automation Bangla Tutorial · 4:16 | Learn AI Agents &amp; Workflow in 2026 | সহজভাবে শিখুন AI System (Part 1) · 2:42 | View full playlist | AI Automation Course Bangla for Beginners | শূন্য থেকে বাস্তব স্কিল শেখার সম্পূর্ণ গাইড আপনি কি AI Automatio</t>
        </is>
      </c>
      <c r="M3" t="inlineStr">
        <is>
          <t xml:space="preserve">power automate tutorial bangla ; power automate bangla</t>
        </is>
      </c>
    </row>
    <row r="4">
      <c r="A4" s="3">
        <v>3</v>
      </c>
      <c r="B4" t="inlineStr">
        <is>
          <t xml:space="preserve">Video</t>
        </is>
      </c>
      <c r="C4" t="inlineStr">
        <is>
          <t xml:space="preserve">Bangla</t>
        </is>
      </c>
      <c r="D4" t="inlineStr">
        <is>
          <t xml:space="preserve">Certification</t>
        </is>
      </c>
      <c r="E4" t="inlineStr">
        <is>
          <t xml:space="preserve"/>
        </is>
      </c>
      <c r="F4" t="inlineStr">
        <is>
          <t xml:space="preserve">অটো ইমেইলে অটো অ্যাটাচমেন্ট সব পিডিএফ ফাইল । NU Exam Power Automate Tutorial in Bangla</t>
        </is>
      </c>
      <c r="G4" t="inlineStr">
        <is>
          <t xml:space="preserve">Fazlul Haque</t>
        </is>
      </c>
      <c r="H4" s="3">
        <v>362</v>
      </c>
      <c r="I4" t="inlineStr">
        <is>
          <t xml:space="preserve">3y ago</t>
        </is>
      </c>
      <c r="J4" t="inlineStr">
        <is>
          <t xml:space="preserve">23:48</t>
        </is>
      </c>
      <c r="K4" s="2" t="str">
        <f>HYPERLINK("https://www.youtube.com/watch?v=CxD023gnVYM","https://www.youtube.com/watch?v=CxD023gnVYM")</f>
        <v>https://www.youtube.com/watch?v=CxD023gnVYM</v>
      </c>
      <c r="L4" t="inlineStr">
        <is>
          <t xml:space="preserve">অটো ডাউনলোড থেকে শুরু করে কাঙ্খিত ব্যক্তির কাছে অটোমেটিক্যালি সকল ...</t>
        </is>
      </c>
      <c r="M4" t="inlineStr">
        <is>
          <t xml:space="preserve">power automate tutorial bangla ; power automate bangla ; microsoft power automate bangla tutorial ; পাওয়ার অটোমেট</t>
        </is>
      </c>
    </row>
    <row r="5">
      <c r="A5" s="3">
        <v>4</v>
      </c>
      <c r="B5" t="inlineStr">
        <is>
          <t xml:space="preserve">Video</t>
        </is>
      </c>
      <c r="C5" t="inlineStr">
        <is>
          <t xml:space="preserve">Bangla</t>
        </is>
      </c>
      <c r="D5" t="inlineStr">
        <is>
          <t xml:space="preserve">Tutorial</t>
        </is>
      </c>
      <c r="E5" t="inlineStr">
        <is>
          <t xml:space="preserve">AI/Copilot</t>
        </is>
      </c>
      <c r="F5" t="inlineStr">
        <is>
          <t xml:space="preserve">Complete AI Automation using n8n | Build Your First Automation From Scratch in Bangla</t>
        </is>
      </c>
      <c r="G5" t="inlineStr">
        <is>
          <t xml:space="preserve">Ali Hossain</t>
        </is>
      </c>
      <c r="H5" s="3">
        <v>247385</v>
      </c>
      <c r="I5" t="inlineStr">
        <is>
          <t xml:space="preserve">9mo ago</t>
        </is>
      </c>
      <c r="J5" t="inlineStr">
        <is>
          <t xml:space="preserve">1:07:29</t>
        </is>
      </c>
      <c r="K5" s="2" t="str">
        <f>HYPERLINK("https://www.youtube.com/watch?v=ALde_wE8D8w","https://www.youtube.com/watch?v=ALde_wE8D8w")</f>
        <v>https://www.youtube.com/watch?v=ALde_wE8D8w</v>
      </c>
      <c r="L5" t="inlineStr">
        <is>
          <t xml:space="preserve">Do you feel like you spend more time managing tasks than actually doing them? Repetitive workflows can drain your productivity ...</t>
        </is>
      </c>
      <c r="M5" t="inlineStr">
        <is>
          <t xml:space="preserve">power automate tutorial bangla</t>
        </is>
      </c>
    </row>
    <row r="6">
      <c r="A6" s="3">
        <v>5</v>
      </c>
      <c r="B6" t="inlineStr">
        <is>
          <t xml:space="preserve">Video</t>
        </is>
      </c>
      <c r="C6" t="inlineStr">
        <is>
          <t xml:space="preserve">Bangla</t>
        </is>
      </c>
      <c r="D6" t="inlineStr">
        <is>
          <t xml:space="preserve">Tutorial</t>
        </is>
      </c>
      <c r="E6" t="inlineStr">
        <is>
          <t xml:space="preserve"/>
        </is>
      </c>
      <c r="F6" t="inlineStr">
        <is>
          <t xml:space="preserve">YX850 অটো পাওয়ার Failure সুইচিং সার্কিট || YX850 Auto Power Failure Switching Circuit</t>
        </is>
      </c>
      <c r="G6" t="inlineStr">
        <is>
          <t xml:space="preserve">EST Programming</t>
        </is>
      </c>
      <c r="H6" s="3">
        <v>20578</v>
      </c>
      <c r="I6" t="inlineStr">
        <is>
          <t xml:space="preserve">2y ago</t>
        </is>
      </c>
      <c r="J6" t="inlineStr">
        <is>
          <t xml:space="preserve">11:23</t>
        </is>
      </c>
      <c r="K6" s="2" t="str">
        <f>HYPERLINK("https://www.youtube.com/watch?v=p1rELohNmHQ","https://www.youtube.com/watch?v=p1rELohNmHQ")</f>
        <v>https://www.youtube.com/watch?v=p1rELohNmHQ</v>
      </c>
      <c r="L6" t="inlineStr">
        <is>
          <t xml:space="preserve">Welcome to our channel where we delve into the fascinating world of electronics! In this video, we're exploring the YX850 Auto ...</t>
        </is>
      </c>
      <c r="M6" t="inlineStr">
        <is>
          <t xml:space="preserve">power automate bangla</t>
        </is>
      </c>
    </row>
    <row r="7">
      <c r="A7" s="3">
        <v>6</v>
      </c>
      <c r="B7" t="inlineStr">
        <is>
          <t xml:space="preserve">Video</t>
        </is>
      </c>
      <c r="C7" t="inlineStr">
        <is>
          <t xml:space="preserve">Bangla</t>
        </is>
      </c>
      <c r="D7" t="inlineStr">
        <is>
          <t xml:space="preserve">Tutorial</t>
        </is>
      </c>
      <c r="E7" t="inlineStr">
        <is>
          <t xml:space="preserve"/>
        </is>
      </c>
      <c r="F7" t="inlineStr">
        <is>
          <t xml:space="preserve">Refresh Power BI With power automate বাংলা</t>
        </is>
      </c>
      <c r="G7" t="inlineStr">
        <is>
          <t xml:space="preserve">Masum Billah</t>
        </is>
      </c>
      <c r="H7" s="3">
        <v>355</v>
      </c>
      <c r="I7" t="inlineStr">
        <is>
          <t xml:space="preserve">3y ago</t>
        </is>
      </c>
      <c r="J7" t="inlineStr">
        <is>
          <t xml:space="preserve">4:07</t>
        </is>
      </c>
      <c r="K7" s="2" t="str">
        <f>HYPERLINK("https://www.youtube.com/watch?v=o79f8Jj3H_g","https://www.youtube.com/watch?v=o79f8Jj3H_g")</f>
        <v>https://www.youtube.com/watch?v=o79f8Jj3H_g</v>
      </c>
      <c r="L7" t="inlineStr">
        <is>
          <t xml:space="preserve">Power BI dataset refresh with click of a button making data flow command by power automate any user can make refresh of the ...</t>
        </is>
      </c>
      <c r="M7" t="inlineStr">
        <is>
          <t xml:space="preserve">power automate bangla ; microsoft power automate bangla tutorial</t>
        </is>
      </c>
    </row>
    <row r="8">
      <c r="A8" s="3">
        <v>7</v>
      </c>
      <c r="B8" t="inlineStr">
        <is>
          <t xml:space="preserve">Video</t>
        </is>
      </c>
      <c r="C8" t="inlineStr">
        <is>
          <t xml:space="preserve">Bangla</t>
        </is>
      </c>
      <c r="D8" t="inlineStr">
        <is>
          <t xml:space="preserve">Tutorial</t>
        </is>
      </c>
      <c r="E8" t="inlineStr">
        <is>
          <t xml:space="preserve"/>
        </is>
      </c>
      <c r="F8" t="inlineStr">
        <is>
          <t xml:space="preserve">কম্পিউটার অটমেশন অটো লগ ইন লগ আউট  জাতীয় বিশ্বঃ পরীক্ষা পরিচালনা ।Power Automate in Bangla P-01</t>
        </is>
      </c>
      <c r="G8" t="inlineStr">
        <is>
          <t xml:space="preserve">Fazlul Haque</t>
        </is>
      </c>
      <c r="H8" s="3">
        <v>257</v>
      </c>
      <c r="I8" t="inlineStr">
        <is>
          <t xml:space="preserve">3y ago</t>
        </is>
      </c>
      <c r="J8" t="inlineStr">
        <is>
          <t xml:space="preserve">19:27</t>
        </is>
      </c>
      <c r="K8" s="2" t="str">
        <f>HYPERLINK("https://www.youtube.com/watch?v=UH2jcQyJHxA","https://www.youtube.com/watch?v=UH2jcQyJHxA")</f>
        <v>https://www.youtube.com/watch?v=UH2jcQyJHxA</v>
      </c>
      <c r="L8" t="inlineStr">
        <is>
          <t xml:space="preserve">মাইক্রোসফট পাওয়ার অটোমেট মাধ্যমে অনায়াসেই স্বয়ংক্রিয়ভাবে ...</t>
        </is>
      </c>
      <c r="M8" t="inlineStr">
        <is>
          <t xml:space="preserve">power automate bangla</t>
        </is>
      </c>
    </row>
    <row r="9">
      <c r="A9" s="3">
        <v>8</v>
      </c>
      <c r="B9" t="inlineStr">
        <is>
          <t xml:space="preserve">Video</t>
        </is>
      </c>
      <c r="C9" t="inlineStr">
        <is>
          <t xml:space="preserve">English</t>
        </is>
      </c>
      <c r="D9" t="inlineStr">
        <is>
          <t xml:space="preserve">Course</t>
        </is>
      </c>
      <c r="E9" t="inlineStr">
        <is>
          <t xml:space="preserve">Desktop/RPA, Web automation</t>
        </is>
      </c>
      <c r="F9" t="inlineStr">
        <is>
          <t xml:space="preserve">Web Scraping Made EASY With Power Automate Desktop - For FREE &amp; ZERO Coding</t>
        </is>
      </c>
      <c r="G9" t="inlineStr">
        <is>
          <t xml:space="preserve">Leila Gharani</t>
        </is>
      </c>
      <c r="H9" s="3">
        <v>1513782</v>
      </c>
      <c r="I9" t="inlineStr">
        <is>
          <t xml:space="preserve">4y ago</t>
        </is>
      </c>
      <c r="J9" t="inlineStr">
        <is>
          <t xml:space="preserve">13:11</t>
        </is>
      </c>
      <c r="K9" s="2" t="str">
        <f>HYPERLINK("https://www.youtube.com/watch?v=DgBZiBIgh3w","https://www.youtube.com/watch?v=DgBZiBIgh3w")</f>
        <v>https://www.youtube.com/watch?v=DgBZiBIgh3w</v>
      </c>
      <c r="L9" t="inlineStr">
        <is>
          <t xml:space="preserve">400000+ professionals trust our courses—start your journey here https://link.xelplus.com/yt-d-all-courses Unlock the potential of ...</t>
        </is>
      </c>
      <c r="M9" t="inlineStr">
        <is>
          <t xml:space="preserve">power automate desktop project</t>
        </is>
      </c>
    </row>
    <row r="10">
      <c r="A10" s="3">
        <v>9</v>
      </c>
      <c r="B10" t="inlineStr">
        <is>
          <t xml:space="preserve">Video</t>
        </is>
      </c>
      <c r="C10" t="inlineStr">
        <is>
          <t xml:space="preserve">English</t>
        </is>
      </c>
      <c r="D10" t="inlineStr">
        <is>
          <t xml:space="preserve">Course</t>
        </is>
      </c>
      <c r="E10" t="inlineStr">
        <is>
          <t xml:space="preserve"/>
        </is>
      </c>
      <c r="F10" t="inlineStr">
        <is>
          <t xml:space="preserve">Power Automate Beginner to Pro Tutorial [Full Course]</t>
        </is>
      </c>
      <c r="G10" t="inlineStr">
        <is>
          <t xml:space="preserve">Pragmatic Works</t>
        </is>
      </c>
      <c r="H10" s="3">
        <v>1224908</v>
      </c>
      <c r="I10" t="inlineStr">
        <is>
          <t xml:space="preserve">Streamed 4y ago</t>
        </is>
      </c>
      <c r="J10" t="inlineStr">
        <is>
          <t xml:space="preserve">2:51:54</t>
        </is>
      </c>
      <c r="K10" s="2" t="str">
        <f>HYPERLINK("https://www.youtube.com/watch?v=1p5kI7SYz4Q","https://www.youtube.com/watch?v=1p5kI7SYz4Q")</f>
        <v>https://www.youtube.com/watch?v=1p5kI7SYz4Q</v>
      </c>
      <c r="L10" t="inlineStr">
        <is>
          <t xml:space="preserve">UPDATED 2024 VERSION AVAILABLE HERE: https://youtube.com/live/KsgxDz-nY_I Power Automate is an automation tool ...</t>
        </is>
      </c>
      <c r="M10" t="inlineStr">
        <is>
          <t xml:space="preserve">power automate full course ; power automate tutorial for beginners ; power automate course</t>
        </is>
      </c>
    </row>
    <row r="11">
      <c r="A11" s="3">
        <v>10</v>
      </c>
      <c r="B11" t="inlineStr">
        <is>
          <t xml:space="preserve">Video</t>
        </is>
      </c>
      <c r="C11" t="inlineStr">
        <is>
          <t xml:space="preserve">English</t>
        </is>
      </c>
      <c r="D11" t="inlineStr">
        <is>
          <t xml:space="preserve">Course</t>
        </is>
      </c>
      <c r="E11" t="inlineStr">
        <is>
          <t xml:space="preserve">Email/Outlook, PDF</t>
        </is>
      </c>
      <c r="F11" t="inlineStr">
        <is>
          <t xml:space="preserve">Learn to Use Power Automate with Examples | Create Bulk PDF Files | Planner to Outlook</t>
        </is>
      </c>
      <c r="G11" t="inlineStr">
        <is>
          <t xml:space="preserve">Leila Gharani</t>
        </is>
      </c>
      <c r="H11" s="3">
        <v>1040284</v>
      </c>
      <c r="I11" t="inlineStr">
        <is>
          <t xml:space="preserve">5y ago</t>
        </is>
      </c>
      <c r="J11" t="inlineStr">
        <is>
          <t xml:space="preserve">14:59</t>
        </is>
      </c>
      <c r="K11" s="2" t="str">
        <f>HYPERLINK("https://www.youtube.com/watch?v=SUsik0FGzI0","https://www.youtube.com/watch?v=SUsik0FGzI0")</f>
        <v>https://www.youtube.com/watch?v=SUsik0FGzI0</v>
      </c>
      <c r="L11" t="inlineStr">
        <is>
          <t xml:space="preserve">400000+ professionals trust our courses—start your journey here https://link.xelplus.com/yt-d-all-courses Dive into the world of ...</t>
        </is>
      </c>
      <c r="M11" t="inlineStr">
        <is>
          <t xml:space="preserve">power automate tutorial for beginners ; পাওয়ার অটোমেট</t>
        </is>
      </c>
    </row>
    <row r="12">
      <c r="A12" s="3">
        <v>11</v>
      </c>
      <c r="B12" t="inlineStr">
        <is>
          <t xml:space="preserve">Video</t>
        </is>
      </c>
      <c r="C12" t="inlineStr">
        <is>
          <t xml:space="preserve">English</t>
        </is>
      </c>
      <c r="D12" t="inlineStr">
        <is>
          <t xml:space="preserve">Course</t>
        </is>
      </c>
      <c r="E12" t="inlineStr">
        <is>
          <t xml:space="preserve"/>
        </is>
      </c>
      <c r="F12" t="inlineStr">
        <is>
          <t xml:space="preserve">Power Automate Tutorial ⚡ Beginner To Pro [Full Course]</t>
        </is>
      </c>
      <c r="G12" t="inlineStr">
        <is>
          <t xml:space="preserve">Pragmatic Works</t>
        </is>
      </c>
      <c r="H12" s="3">
        <v>770049</v>
      </c>
      <c r="I12" t="inlineStr">
        <is>
          <t xml:space="preserve">Streamed 2y ago</t>
        </is>
      </c>
      <c r="J12" t="inlineStr">
        <is>
          <t xml:space="preserve">2:34:42</t>
        </is>
      </c>
      <c r="K12" s="2" t="str">
        <f>HYPERLINK("https://www.youtube.com/watch?v=KsgxDz-nY_I","https://www.youtube.com/watch?v=KsgxDz-nY_I")</f>
        <v>https://www.youtube.com/watch?v=KsgxDz-nY_I</v>
      </c>
      <c r="L12" t="inlineStr">
        <is>
          <t xml:space="preserve">Download your certificate of completion after you finish this course: ...</t>
        </is>
      </c>
      <c r="M12" t="inlineStr">
        <is>
          <t xml:space="preserve">power automate full course ; power automate tutorial for beginners ; power automate project ; power automate desktop full course ; power automate cloud flow tutorial ; power automate sharepoint automation ; PL-500 power automate RPA developer ; power automate advanced tutorial ; power automate course ; power automate tutorial playlist ; power automate full course hindi ; পাওয়ার অটোমেট</t>
        </is>
      </c>
    </row>
    <row r="13">
      <c r="A13" s="3">
        <v>12</v>
      </c>
      <c r="B13" t="inlineStr">
        <is>
          <t xml:space="preserve">Video</t>
        </is>
      </c>
      <c r="C13" t="inlineStr">
        <is>
          <t xml:space="preserve">English</t>
        </is>
      </c>
      <c r="D13" t="inlineStr">
        <is>
          <t xml:space="preserve">Course</t>
        </is>
      </c>
      <c r="E13" t="inlineStr">
        <is>
          <t xml:space="preserve"/>
        </is>
      </c>
      <c r="F13" t="inlineStr">
        <is>
          <t xml:space="preserve">Microsoft Power Platform Fundamentals (PL-900) — Full Course Pass the Exam!</t>
        </is>
      </c>
      <c r="G13" t="inlineStr">
        <is>
          <t xml:space="preserve">freeCodeCamp.org</t>
        </is>
      </c>
      <c r="H13" s="3">
        <v>658244</v>
      </c>
      <c r="I13" t="inlineStr">
        <is>
          <t xml:space="preserve">3y ago</t>
        </is>
      </c>
      <c r="J13" t="inlineStr">
        <is>
          <t xml:space="preserve">3:26:00</t>
        </is>
      </c>
      <c r="K13" s="2" t="str">
        <f>HYPERLINK("https://www.youtube.com/watch?v=ZTPcRWK0ytE","https://www.youtube.com/watch?v=ZTPcRWK0ytE")</f>
        <v>https://www.youtube.com/watch?v=ZTPcRWK0ytE</v>
      </c>
      <c r="L13" t="inlineStr">
        <is>
          <t xml:space="preserve">Prepare for the Microsoft Power Platform Fundamentals Certification (PL-900) and pass! Candidates for this exam aspire to ...</t>
        </is>
      </c>
      <c r="M13" t="inlineStr">
        <is>
          <t xml:space="preserve">PL-900 power platform</t>
        </is>
      </c>
    </row>
    <row r="14">
      <c r="A14" s="3">
        <v>13</v>
      </c>
      <c r="B14" t="inlineStr">
        <is>
          <t xml:space="preserve">Video</t>
        </is>
      </c>
      <c r="C14" t="inlineStr">
        <is>
          <t xml:space="preserve">English</t>
        </is>
      </c>
      <c r="D14" t="inlineStr">
        <is>
          <t xml:space="preserve">Course</t>
        </is>
      </c>
      <c r="E14" t="inlineStr">
        <is>
          <t xml:space="preserve">Excel</t>
        </is>
      </c>
      <c r="F14" t="inlineStr">
        <is>
          <t xml:space="preserve">How to use Office Scripts and Power Automate to do Boring Excel Tasks for You</t>
        </is>
      </c>
      <c r="G14" t="inlineStr">
        <is>
          <t xml:space="preserve">Leila Gharani</t>
        </is>
      </c>
      <c r="H14" s="3">
        <v>463435</v>
      </c>
      <c r="I14" t="inlineStr">
        <is>
          <t xml:space="preserve">5y ago</t>
        </is>
      </c>
      <c r="J14" t="inlineStr">
        <is>
          <t xml:space="preserve">12:05</t>
        </is>
      </c>
      <c r="K14" s="2" t="str">
        <f>HYPERLINK("https://www.youtube.com/watch?v=v-_joMcPpLI","https://www.youtube.com/watch?v=v-_joMcPpLI")</f>
        <v>https://www.youtube.com/watch?v=v-_joMcPpLI</v>
      </c>
      <c r="L14" t="inlineStr">
        <is>
          <t xml:space="preserve">Join 400000+ professionals in our courses here https://link.xelplus.com/yt-d-all-courses Learn how to effortlessly run Office ...</t>
        </is>
      </c>
      <c r="M14" t="inlineStr">
        <is>
          <t xml:space="preserve">power automate excel automation</t>
        </is>
      </c>
    </row>
    <row r="15">
      <c r="A15" s="3">
        <v>14</v>
      </c>
      <c r="B15" t="inlineStr">
        <is>
          <t xml:space="preserve">Video</t>
        </is>
      </c>
      <c r="C15" t="inlineStr">
        <is>
          <t xml:space="preserve">English</t>
        </is>
      </c>
      <c r="D15" t="inlineStr">
        <is>
          <t xml:space="preserve">Course</t>
        </is>
      </c>
      <c r="E15" t="inlineStr">
        <is>
          <t xml:space="preserve">Excel</t>
        </is>
      </c>
      <c r="F15" t="inlineStr">
        <is>
          <t xml:space="preserve">Streamline Excel: Power Automate Tricks You Need to Know!</t>
        </is>
      </c>
      <c r="G15" t="inlineStr">
        <is>
          <t xml:space="preserve">Leila Gharani</t>
        </is>
      </c>
      <c r="H15" s="3">
        <v>212807</v>
      </c>
      <c r="I15" t="inlineStr">
        <is>
          <t xml:space="preserve">5y ago</t>
        </is>
      </c>
      <c r="J15" t="inlineStr">
        <is>
          <t xml:space="preserve">14:34</t>
        </is>
      </c>
      <c r="K15" s="2" t="str">
        <f>HYPERLINK("https://www.youtube.com/watch?v=YBi9PgbnfLQ","https://www.youtube.com/watch?v=YBi9PgbnfLQ")</f>
        <v>https://www.youtube.com/watch?v=YBi9PgbnfLQ</v>
      </c>
      <c r="L15" t="inlineStr">
        <is>
          <t xml:space="preserve">Join 400000+ professionals in our courses here https://link.xelplus.com/yt-d-all-courses Master the art of integrating Excel with ...</t>
        </is>
      </c>
      <c r="M15" t="inlineStr">
        <is>
          <t xml:space="preserve">power automate excel automation</t>
        </is>
      </c>
    </row>
    <row r="16">
      <c r="A16" s="3">
        <v>15</v>
      </c>
      <c r="B16" t="inlineStr">
        <is>
          <t xml:space="preserve">Video</t>
        </is>
      </c>
      <c r="C16" t="inlineStr">
        <is>
          <t xml:space="preserve">English</t>
        </is>
      </c>
      <c r="D16" t="inlineStr">
        <is>
          <t xml:space="preserve">Course</t>
        </is>
      </c>
      <c r="E16" t="inlineStr">
        <is>
          <t xml:space="preserve">Power Apps</t>
        </is>
      </c>
      <c r="F16" t="inlineStr">
        <is>
          <t xml:space="preserve">PL-900 Full Course | Power Platform Fundamentals Certification Training</t>
        </is>
      </c>
      <c r="G16" t="inlineStr">
        <is>
          <t xml:space="preserve">A Guide to Cloud &amp; AI</t>
        </is>
      </c>
      <c r="H16" s="3">
        <v>153557</v>
      </c>
      <c r="I16" t="inlineStr">
        <is>
          <t xml:space="preserve">4y ago</t>
        </is>
      </c>
      <c r="J16" t="inlineStr">
        <is>
          <t xml:space="preserve">2:12:54</t>
        </is>
      </c>
      <c r="K16" s="2" t="str">
        <f>HYPERLINK("https://www.youtube.com/watch?v=lpsre6vWzCc","https://www.youtube.com/watch?v=lpsre6vWzCc")</f>
        <v>https://www.youtube.com/watch?v=lpsre6vWzCc</v>
      </c>
      <c r="L16" t="inlineStr">
        <is>
          <t xml:space="preserve">Learn Microsoft Power Platform tools like Power Apps, Power BI, and Power Automate. Perfect for beginners preparing for the ...</t>
        </is>
      </c>
      <c r="M16" t="inlineStr">
        <is>
          <t xml:space="preserve">PL-900 power platform</t>
        </is>
      </c>
    </row>
    <row r="17">
      <c r="A17" s="3">
        <v>16</v>
      </c>
      <c r="B17" t="inlineStr">
        <is>
          <t xml:space="preserve">Video</t>
        </is>
      </c>
      <c r="C17" t="inlineStr">
        <is>
          <t xml:space="preserve">English</t>
        </is>
      </c>
      <c r="D17" t="inlineStr">
        <is>
          <t xml:space="preserve">Course</t>
        </is>
      </c>
      <c r="E17" t="inlineStr">
        <is>
          <t xml:space="preserve">Desktop/RPA</t>
        </is>
      </c>
      <c r="F17" t="inlineStr">
        <is>
          <t xml:space="preserve">Microsoft Power Automate Desktop - Beginners Course</t>
        </is>
      </c>
      <c r="G17" t="inlineStr">
        <is>
          <t xml:space="preserve">Anders Jensen</t>
        </is>
      </c>
      <c r="H17" s="3">
        <v>69426</v>
      </c>
      <c r="I17" t="inlineStr">
        <is>
          <t xml:space="preserve">3y ago</t>
        </is>
      </c>
      <c r="J17" t="inlineStr">
        <is>
          <t xml:space="preserve">1:52:05</t>
        </is>
      </c>
      <c r="K17" s="2" t="str">
        <f>HYPERLINK("https://www.youtube.com/watch?v=qfpHqfp2R3Y","https://www.youtube.com/watch?v=qfpHqfp2R3Y")</f>
        <v>https://www.youtube.com/watch?v=qfpHqfp2R3Y</v>
      </c>
      <c r="L17" t="inlineStr">
        <is>
          <t xml:space="preserve">Learn Power Automate Desktop in less than two hours on this 2023 beginners course. In the real-time tutorial, you and I will build ...</t>
        </is>
      </c>
      <c r="M17" t="inlineStr">
        <is>
          <t xml:space="preserve">power automate desktop full course</t>
        </is>
      </c>
    </row>
    <row r="18">
      <c r="A18" s="3">
        <v>17</v>
      </c>
      <c r="B18" t="inlineStr">
        <is>
          <t xml:space="preserve">Video</t>
        </is>
      </c>
      <c r="C18" t="inlineStr">
        <is>
          <t xml:space="preserve">English</t>
        </is>
      </c>
      <c r="D18" t="inlineStr">
        <is>
          <t xml:space="preserve">Course</t>
        </is>
      </c>
      <c r="E18" t="inlineStr">
        <is>
          <t xml:space="preserve">Desktop/RPA</t>
        </is>
      </c>
      <c r="F18" t="inlineStr">
        <is>
          <t xml:space="preserve">Power Automate Desktop Tutorial for Beginners | Zero to Hero</t>
        </is>
      </c>
      <c r="G18" t="inlineStr">
        <is>
          <t xml:space="preserve">Thomas Janssen</t>
        </is>
      </c>
      <c r="H18" s="3">
        <v>38351</v>
      </c>
      <c r="I18" t="inlineStr">
        <is>
          <t xml:space="preserve">3y ago</t>
        </is>
      </c>
      <c r="J18" t="inlineStr">
        <is>
          <t xml:space="preserve">1:57:55</t>
        </is>
      </c>
      <c r="K18" s="2" t="str">
        <f>HYPERLINK("https://www.youtube.com/watch?v=Y35ZJs16APQ","https://www.youtube.com/watch?v=Y35ZJs16APQ")</f>
        <v>https://www.youtube.com/watch?v=Y35ZJs16APQ</v>
      </c>
      <c r="L18" t="inlineStr">
        <is>
          <t xml:space="preserve">In this complete Power Automate Desktop beginners course you will learn all the basics about PAD! Within the first 15 minutes you ... Thank you for watching you've chosen the most complete power automate desktop tutorial on the internet my name is Thomas ...</t>
        </is>
      </c>
      <c r="M18" t="inlineStr">
        <is>
          <t xml:space="preserve">power automate desktop full course</t>
        </is>
      </c>
    </row>
    <row r="19">
      <c r="A19" s="3">
        <v>18</v>
      </c>
      <c r="B19" t="inlineStr">
        <is>
          <t xml:space="preserve">Video</t>
        </is>
      </c>
      <c r="C19" t="inlineStr">
        <is>
          <t xml:space="preserve">English</t>
        </is>
      </c>
      <c r="D19" t="inlineStr">
        <is>
          <t xml:space="preserve">Course</t>
        </is>
      </c>
      <c r="E19" t="inlineStr">
        <is>
          <t xml:space="preserve">Desktop/RPA</t>
        </is>
      </c>
      <c r="F19" t="inlineStr">
        <is>
          <t xml:space="preserve">Microsoft Power Automate Desktop 2023 -  RPA MasterClass (Complete Practical Course)</t>
        </is>
      </c>
      <c r="G19" t="inlineStr">
        <is>
          <t xml:space="preserve">Sharath Raju</t>
        </is>
      </c>
      <c r="H19" s="3">
        <v>19524</v>
      </c>
      <c r="I19" t="inlineStr">
        <is>
          <t xml:space="preserve">3y ago</t>
        </is>
      </c>
      <c r="J19" t="inlineStr">
        <is>
          <t xml:space="preserve">4:19:52</t>
        </is>
      </c>
      <c r="K19" s="2" t="str">
        <f>HYPERLINK("https://www.youtube.com/watch?v=VSAkqqHCUts","https://www.youtube.com/watch?v=VSAkqqHCUts")</f>
        <v>https://www.youtube.com/watch?v=VSAkqqHCUts</v>
      </c>
      <c r="L19" t="inlineStr">
        <is>
          <t xml:space="preserve">Microsoft Power Automate Flow Desktop Course Source Code: ...</t>
        </is>
      </c>
      <c r="M19" t="inlineStr">
        <is>
          <t xml:space="preserve">power automate desktop full course ; PL-500 power automate RPA developer</t>
        </is>
      </c>
    </row>
    <row r="20">
      <c r="A20" s="3">
        <v>19</v>
      </c>
      <c r="B20" t="inlineStr">
        <is>
          <t xml:space="preserve">Video</t>
        </is>
      </c>
      <c r="C20" t="inlineStr">
        <is>
          <t xml:space="preserve">English</t>
        </is>
      </c>
      <c r="D20" t="inlineStr">
        <is>
          <t xml:space="preserve">Course</t>
        </is>
      </c>
      <c r="E20" t="inlineStr">
        <is>
          <t xml:space="preserve"/>
        </is>
      </c>
      <c r="F20" t="inlineStr">
        <is>
          <t xml:space="preserve">Microsoft Power Platform Fundamentals - FREE Full Course [2025]</t>
        </is>
      </c>
      <c r="G20" t="inlineStr">
        <is>
          <t xml:space="preserve">Powercademy</t>
        </is>
      </c>
      <c r="H20" s="3">
        <v>17243</v>
      </c>
      <c r="I20" t="inlineStr">
        <is>
          <t xml:space="preserve">1y ago</t>
        </is>
      </c>
      <c r="J20" t="inlineStr">
        <is>
          <t xml:space="preserve">2:14:20</t>
        </is>
      </c>
      <c r="K20" s="2" t="str">
        <f>HYPERLINK("https://www.youtube.com/watch?v=CiRhM251Spw","https://www.youtube.com/watch?v=CiRhM251Spw")</f>
        <v>https://www.youtube.com/watch?v=CiRhM251Spw</v>
      </c>
      <c r="L20" t="inlineStr">
        <is>
          <t xml:space="preserve">Check out Powercademy.com for exclusive programs, new courses, and a thriving community to help you level up your Power ... ... the certification details screen So here I'm on the PL900 Microsoft Certified Power Platform Fundamentals Certification That was ...</t>
        </is>
      </c>
      <c r="M20" t="inlineStr">
        <is>
          <t xml:space="preserve">PL-900 power platform</t>
        </is>
      </c>
    </row>
    <row r="21">
      <c r="A21" s="3">
        <v>20</v>
      </c>
      <c r="B21" t="inlineStr">
        <is>
          <t xml:space="preserve">Video</t>
        </is>
      </c>
      <c r="C21" t="inlineStr">
        <is>
          <t xml:space="preserve">English</t>
        </is>
      </c>
      <c r="D21" t="inlineStr">
        <is>
          <t xml:space="preserve">Course</t>
        </is>
      </c>
      <c r="E21" t="inlineStr">
        <is>
          <t xml:space="preserve">Web automation</t>
        </is>
      </c>
      <c r="F21" t="inlineStr">
        <is>
          <t xml:space="preserve">How To Prepare for the PL-900 Microsoft Power Platform Fundamentals Certification Exam [Full Course]</t>
        </is>
      </c>
      <c r="G21" t="inlineStr">
        <is>
          <t xml:space="preserve">Pragmatic Works</t>
        </is>
      </c>
      <c r="H21" s="3">
        <v>15907</v>
      </c>
      <c r="I21" t="inlineStr">
        <is>
          <t xml:space="preserve">Streamed 2y ago</t>
        </is>
      </c>
      <c r="J21" t="inlineStr">
        <is>
          <t xml:space="preserve">55:30</t>
        </is>
      </c>
      <c r="K21" s="2" t="str">
        <f>HYPERLINK("https://www.youtube.com/watch?v=wLWmkf-S7jw","https://www.youtube.com/watch?v=wLWmkf-S7jw")</f>
        <v>https://www.youtube.com/watch?v=wLWmkf-S7jw</v>
      </c>
      <c r="L21" t="inlineStr">
        <is>
          <t xml:space="preserve">This webinar is ideal for anyone preparing for the PL-900 exam. Join Jonathon Silva as he provides a solid foundation in the ...</t>
        </is>
      </c>
      <c r="M21" t="inlineStr">
        <is>
          <t xml:space="preserve">PL-900 power platform</t>
        </is>
      </c>
    </row>
    <row r="22">
      <c r="A22" s="3">
        <v>21</v>
      </c>
      <c r="B22" t="inlineStr">
        <is>
          <t xml:space="preserve">Video</t>
        </is>
      </c>
      <c r="C22" t="inlineStr">
        <is>
          <t xml:space="preserve">English</t>
        </is>
      </c>
      <c r="D22" t="inlineStr">
        <is>
          <t xml:space="preserve">Course</t>
        </is>
      </c>
      <c r="E22" t="inlineStr">
        <is>
          <t xml:space="preserve"/>
        </is>
      </c>
      <c r="F22" t="inlineStr">
        <is>
          <t xml:space="preserve">PL-900 Power Platform Fundamentals Full Crash Course</t>
        </is>
      </c>
      <c r="G22" t="inlineStr">
        <is>
          <t xml:space="preserve">Tech With Shapingpixel</t>
        </is>
      </c>
      <c r="H22" s="3">
        <v>810</v>
      </c>
      <c r="I22" t="inlineStr">
        <is>
          <t xml:space="preserve">1mo ago</t>
        </is>
      </c>
      <c r="J22" t="inlineStr">
        <is>
          <t xml:space="preserve">1:21:57</t>
        </is>
      </c>
      <c r="K22" s="2" t="str">
        <f>HYPERLINK("https://www.youtube.com/watch?v=kLW86Ydvyvg","https://www.youtube.com/watch?v=kLW86Ydvyvg")</f>
        <v>https://www.youtube.com/watch?v=kLW86Ydvyvg</v>
      </c>
      <c r="L22" t="inlineStr">
        <is>
          <t xml:space="preserve">Join Our YouTube Channel Membership – Elevate Your Learning Experience! Unlock exclusive benefits and take your IT ...</t>
        </is>
      </c>
      <c r="M22" t="inlineStr">
        <is>
          <t xml:space="preserve">PL-900 power platform</t>
        </is>
      </c>
    </row>
    <row r="23">
      <c r="A23" s="3">
        <v>22</v>
      </c>
      <c r="B23" t="inlineStr">
        <is>
          <t xml:space="preserve">Video</t>
        </is>
      </c>
      <c r="C23" t="inlineStr">
        <is>
          <t xml:space="preserve">English</t>
        </is>
      </c>
      <c r="D23" t="inlineStr">
        <is>
          <t xml:space="preserve">Course</t>
        </is>
      </c>
      <c r="E23" t="inlineStr">
        <is>
          <t xml:space="preserve">Desktop/RPA</t>
        </is>
      </c>
      <c r="F23" t="inlineStr">
        <is>
          <t xml:space="preserve">Microsoft PL-500 Power Automate RPA Developer Exam Prep: Full Course</t>
        </is>
      </c>
      <c r="G23" t="inlineStr">
        <is>
          <t xml:space="preserve">Exam Pass Pro</t>
        </is>
      </c>
      <c r="H23" s="3">
        <v>261</v>
      </c>
      <c r="I23" t="inlineStr">
        <is>
          <t xml:space="preserve">3mo ago</t>
        </is>
      </c>
      <c r="J23" t="inlineStr">
        <is>
          <t xml:space="preserve">2:56:50</t>
        </is>
      </c>
      <c r="K23" s="2" t="str">
        <f>HYPERLINK("https://www.youtube.com/watch?v=nIsyptoJo98","https://www.youtube.com/watch?v=nIsyptoJo98")</f>
        <v>https://www.youtube.com/watch?v=nIsyptoJo98</v>
      </c>
      <c r="L23" t="inlineStr">
        <is>
          <t xml:space="preserve">Master the art of enterprise automation and ace the Microsoft PL-500 exam with this comprehensive developer guide! From ...</t>
        </is>
      </c>
      <c r="M23" t="inlineStr">
        <is>
          <t xml:space="preserve">PL-500 power automate RPA developer</t>
        </is>
      </c>
    </row>
    <row r="24">
      <c r="A24" s="3">
        <v>23</v>
      </c>
      <c r="B24" t="inlineStr">
        <is>
          <t xml:space="preserve">Playlist</t>
        </is>
      </c>
      <c r="C24" t="inlineStr">
        <is>
          <t xml:space="preserve">English</t>
        </is>
      </c>
      <c r="D24" t="inlineStr">
        <is>
          <t xml:space="preserve">Course</t>
        </is>
      </c>
      <c r="E24" t="inlineStr">
        <is>
          <t xml:space="preserve"/>
        </is>
      </c>
      <c r="F24" t="inlineStr">
        <is>
          <t xml:space="preserve">Learn Power Automate - Tutorials</t>
        </is>
      </c>
      <c r="G24" t="inlineStr">
        <is>
          <t xml:space="preserve">Pragmatic Works</t>
        </is>
      </c>
      <c r="H24" t="inlineStr">
        <is>
          <t xml:space="preserve"/>
        </is>
      </c>
      <c r="I24" t="inlineStr">
        <is>
          <t xml:space="preserve"/>
        </is>
      </c>
      <c r="J24" t="inlineStr">
        <is>
          <t xml:space="preserve">96 videos</t>
        </is>
      </c>
      <c r="K24" s="2" t="str">
        <f>HYPERLINK("https://www.youtube.com/playlist?list=PLcwrIWK7WBcRJOEMXnYvxcAfwyTMvGZVi","https://www.youtube.com/playlist?list=PLcwrIWK7WBcRJOEMXnYvxcAfwyTMvGZVi")</f>
        <v>https://www.youtube.com/playlist?list=PLcwrIWK7WBcRJOEMXnYvxcAfwyTMvGZVi</v>
      </c>
      <c r="L24" t="inlineStr">
        <is>
          <t xml:space="preserve">Playlist | Updated 4 days ago | Power Automate Tutorial ⚡ Beginner To Pro [Full Course] · 2:34:42 | Power Automate Beginner to Pro Tutorial [Full Course] · 2:51:54 | View full playlist | Learn Microsoft Power Automate with a series of tutorial training videos from Pragmatic Works. Accelerate your wo</t>
        </is>
      </c>
      <c r="M24" t="inlineStr">
        <is>
          <t xml:space="preserve">power automate full course ; power automate tutorial for beginners ; power automate project ; power automate desktop full course ; power automate cloud flow tutorial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microsoft power automate bangla tutorial ; পাওয়ার অটোমেট</t>
        </is>
      </c>
    </row>
    <row r="25">
      <c r="A25" s="3">
        <v>24</v>
      </c>
      <c r="B25" t="inlineStr">
        <is>
          <t xml:space="preserve">Playlist</t>
        </is>
      </c>
      <c r="C25" t="inlineStr">
        <is>
          <t xml:space="preserve">English</t>
        </is>
      </c>
      <c r="D25" t="inlineStr">
        <is>
          <t xml:space="preserve">Course</t>
        </is>
      </c>
      <c r="E25" t="inlineStr">
        <is>
          <t xml:space="preserve"/>
        </is>
      </c>
      <c r="F25" t="inlineStr">
        <is>
          <t xml:space="preserve">Power Automate | Flow | Power Platform</t>
        </is>
      </c>
      <c r="G25" t="inlineStr">
        <is>
          <t xml:space="preserve">Leila Gharani</t>
        </is>
      </c>
      <c r="H25" t="inlineStr">
        <is>
          <t xml:space="preserve"/>
        </is>
      </c>
      <c r="I25" t="inlineStr">
        <is>
          <t xml:space="preserve"/>
        </is>
      </c>
      <c r="J25" t="inlineStr">
        <is>
          <t xml:space="preserve">11 videos</t>
        </is>
      </c>
      <c r="K25" s="2" t="str">
        <f>HYPERLINK("https://www.youtube.com/playlist?list=PLmHVyfmcRKyy3jmMCBbNaDCNNXIZdeUY1","https://www.youtube.com/playlist?list=PLmHVyfmcRKyy3jmMCBbNaDCNNXIZdeUY1")</f>
        <v>https://www.youtube.com/playlist?list=PLmHVyfmcRKyy3jmMCBbNaDCNNXIZdeUY1</v>
      </c>
      <c r="L25" t="inlineStr">
        <is>
          <t xml:space="preserve">Playlist | View full playlist</t>
        </is>
      </c>
      <c r="M25" t="inlineStr">
        <is>
          <t xml:space="preserve">power automate full course ; power automate project ; power automate real world project ; power automate cloud flow tutorial ; power apps power automate project ; power automate course ; power automate tutorial playlist ; পাওয়ার অটোমেট</t>
        </is>
      </c>
    </row>
    <row r="26">
      <c r="A26" s="3">
        <v>25</v>
      </c>
      <c r="B26" t="inlineStr">
        <is>
          <t xml:space="preserve">Playlist</t>
        </is>
      </c>
      <c r="C26" t="inlineStr">
        <is>
          <t xml:space="preserve">English</t>
        </is>
      </c>
      <c r="D26" t="inlineStr">
        <is>
          <t xml:space="preserve">Course</t>
        </is>
      </c>
      <c r="E26" t="inlineStr">
        <is>
          <t xml:space="preserve">Desktop/RPA</t>
        </is>
      </c>
      <c r="F26" t="inlineStr">
        <is>
          <t xml:space="preserve">Power Automate Desktop – RPA (Robotic Process Automation)</t>
        </is>
      </c>
      <c r="G26" t="inlineStr">
        <is>
          <t xml:space="preserve">Pragmatic Works</t>
        </is>
      </c>
      <c r="H26" t="inlineStr">
        <is>
          <t xml:space="preserve"/>
        </is>
      </c>
      <c r="I26" t="inlineStr">
        <is>
          <t xml:space="preserve"/>
        </is>
      </c>
      <c r="J26" t="inlineStr">
        <is>
          <t xml:space="preserve">7 videos</t>
        </is>
      </c>
      <c r="K26" s="2" t="str">
        <f>HYPERLINK("https://www.youtube.com/playlist?list=PLcwrIWK7WBcRcGoBUCiOyxI4uLeHqHliZ","https://www.youtube.com/playlist?list=PLcwrIWK7WBcRcGoBUCiOyxI4uLeHqHliZ")</f>
        <v>https://www.youtube.com/playlist?list=PLcwrIWK7WBcRcGoBUCiOyxI4uLeHqHliZ</v>
      </c>
      <c r="L26" t="inlineStr">
        <is>
          <t xml:space="preserve">Playlist | View full playlist</t>
        </is>
      </c>
      <c r="M26" t="inlineStr">
        <is>
          <t xml:space="preserve">power automate full course ; power automate desktop project ; power automate course ; power automate tutorial playlist</t>
        </is>
      </c>
    </row>
    <row r="27">
      <c r="A27" s="3">
        <v>26</v>
      </c>
      <c r="B27" t="inlineStr">
        <is>
          <t xml:space="preserve">Playlist</t>
        </is>
      </c>
      <c r="C27" t="inlineStr">
        <is>
          <t xml:space="preserve">English</t>
        </is>
      </c>
      <c r="D27" t="inlineStr">
        <is>
          <t xml:space="preserve">Course</t>
        </is>
      </c>
      <c r="E27" t="inlineStr">
        <is>
          <t xml:space="preserve"/>
        </is>
      </c>
      <c r="F27" t="inlineStr">
        <is>
          <t xml:space="preserve">Power Automate</t>
        </is>
      </c>
      <c r="G27" t="inlineStr">
        <is>
          <t xml:space="preserve">Kevin Stratvert</t>
        </is>
      </c>
      <c r="H27" t="inlineStr">
        <is>
          <t xml:space="preserve"/>
        </is>
      </c>
      <c r="I27" t="inlineStr">
        <is>
          <t xml:space="preserve"/>
        </is>
      </c>
      <c r="J27" t="inlineStr">
        <is>
          <t xml:space="preserve">7 videos</t>
        </is>
      </c>
      <c r="K27" s="2" t="str">
        <f>HYPERLINK("https://www.youtube.com/playlist?list=PLlKpQrBME6xKE_fxQ_YzHVV7HluHpifW9","https://www.youtube.com/playlist?list=PLlKpQrBME6xKE_fxQ_YzHVV7HluHpifW9")</f>
        <v>https://www.youtube.com/playlist?list=PLlKpQrBME6xKE_fxQ_YzHVV7HluHpifW9</v>
      </c>
      <c r="L27" t="inlineStr">
        <is>
          <t xml:space="preserve">Playlist | View full playlist</t>
        </is>
      </c>
      <c r="M27" t="inlineStr">
        <is>
          <t xml:space="preserve">power automate full course ; power automate course ; power automate tutorial playlist</t>
        </is>
      </c>
    </row>
    <row r="28">
      <c r="A28" s="3">
        <v>27</v>
      </c>
      <c r="B28" t="inlineStr">
        <is>
          <t xml:space="preserve">Playlist</t>
        </is>
      </c>
      <c r="C28" t="inlineStr">
        <is>
          <t xml:space="preserve">English</t>
        </is>
      </c>
      <c r="D28" t="inlineStr">
        <is>
          <t xml:space="preserve">Course</t>
        </is>
      </c>
      <c r="E28" t="inlineStr">
        <is>
          <t xml:space="preserve"/>
        </is>
      </c>
      <c r="F28" t="inlineStr">
        <is>
          <t xml:space="preserve">Power Automate Beginner Course</t>
        </is>
      </c>
      <c r="G28" t="inlineStr">
        <is>
          <t xml:space="preserve">TheOyinbooke</t>
        </is>
      </c>
      <c r="H28" t="inlineStr">
        <is>
          <t xml:space="preserve"/>
        </is>
      </c>
      <c r="I28" t="inlineStr">
        <is>
          <t xml:space="preserve"/>
        </is>
      </c>
      <c r="J28" t="inlineStr">
        <is>
          <t xml:space="preserve">23 videos</t>
        </is>
      </c>
      <c r="K28" s="2" t="str">
        <f>HYPERLINK("https://www.youtube.com/playlist?list=PL21kTsq1t_-kghr8KDQ4bLZlb-yoLMOiE","https://www.youtube.com/playlist?list=PL21kTsq1t_-kghr8KDQ4bLZlb-yoLMOiE")</f>
        <v>https://www.youtube.com/playlist?list=PL21kTsq1t_-kghr8KDQ4bLZlb-yoLMOiE</v>
      </c>
      <c r="L28" t="inlineStr">
        <is>
          <t xml:space="preserve">Playlist | View full playlist</t>
        </is>
      </c>
      <c r="M28" t="inlineStr">
        <is>
          <t xml:space="preserve">power automate full course</t>
        </is>
      </c>
    </row>
    <row r="29">
      <c r="A29" s="3">
        <v>28</v>
      </c>
      <c r="B29" t="inlineStr">
        <is>
          <t xml:space="preserve">Playlist</t>
        </is>
      </c>
      <c r="C29" t="inlineStr">
        <is>
          <t xml:space="preserve">English</t>
        </is>
      </c>
      <c r="D29" t="inlineStr">
        <is>
          <t xml:space="preserve">Course</t>
        </is>
      </c>
      <c r="E29" t="inlineStr">
        <is>
          <t xml:space="preserve"/>
        </is>
      </c>
      <c r="F29" t="inlineStr">
        <is>
          <t xml:space="preserve">Microsoft Power Automate</t>
        </is>
      </c>
      <c r="G29" t="inlineStr">
        <is>
          <t xml:space="preserve">Shane Young</t>
        </is>
      </c>
      <c r="H29" t="inlineStr">
        <is>
          <t xml:space="preserve"/>
        </is>
      </c>
      <c r="I29" t="inlineStr">
        <is>
          <t xml:space="preserve"/>
        </is>
      </c>
      <c r="J29" t="inlineStr">
        <is>
          <t xml:space="preserve">103 videos</t>
        </is>
      </c>
      <c r="K29" s="2" t="str">
        <f>HYPERLINK("https://www.youtube.com/playlist?list=PLCGGtLsUjhm3pgu2X0tgjnl3BX1MlnT1t","https://www.youtube.com/playlist?list=PLCGGtLsUjhm3pgu2X0tgjnl3BX1MlnT1t")</f>
        <v>https://www.youtube.com/playlist?list=PLCGGtLsUjhm3pgu2X0tgjnl3BX1MlnT1t</v>
      </c>
      <c r="L29" t="inlineStr">
        <is>
          <t xml:space="preserve">Playlist | View full playlist</t>
        </is>
      </c>
      <c r="M29" t="inlineStr">
        <is>
          <t xml:space="preserve">power automate full course</t>
        </is>
      </c>
    </row>
    <row r="30">
      <c r="A30" s="3">
        <v>29</v>
      </c>
      <c r="B30" t="inlineStr">
        <is>
          <t xml:space="preserve">Playlist</t>
        </is>
      </c>
      <c r="C30" t="inlineStr">
        <is>
          <t xml:space="preserve">English</t>
        </is>
      </c>
      <c r="D30" t="inlineStr">
        <is>
          <t xml:space="preserve">Course</t>
        </is>
      </c>
      <c r="E30" t="inlineStr">
        <is>
          <t xml:space="preserve">Desktop/RPA, Teams, AI/Copilot</t>
        </is>
      </c>
      <c r="F30" t="inlineStr">
        <is>
          <t xml:space="preserve">Microsoft Power Automate Tutorials</t>
        </is>
      </c>
      <c r="G30" t="inlineStr">
        <is>
          <t xml:space="preserve">Learn RPA &amp; AI Technologies every day</t>
        </is>
      </c>
      <c r="H30" t="inlineStr">
        <is>
          <t xml:space="preserve"/>
        </is>
      </c>
      <c r="I30" t="inlineStr">
        <is>
          <t xml:space="preserve"/>
        </is>
      </c>
      <c r="J30" t="inlineStr">
        <is>
          <t xml:space="preserve">52 videos</t>
        </is>
      </c>
      <c r="K30" s="2" t="str">
        <f>HYPERLINK("https://www.youtube.com/playlist?list=PLZVSOFwGx4zA3MluKzbxq5Nx18gj5kt5d","https://www.youtube.com/playlist?list=PLZVSOFwGx4zA3MluKzbxq5Nx18gj5kt5d")</f>
        <v>https://www.youtube.com/playlist?list=PLZVSOFwGx4zA3MluKzbxq5Nx18gj5kt5d</v>
      </c>
      <c r="L30" t="inlineStr">
        <is>
          <t xml:space="preserve">Playlist | Microsoft Power Automate Tutorials - Module 1 : Introduction To Microsoft Power Automate · 8:40 | Microsoft Power Automate Tutorials || Module 2 : How to Sign up and sign in for Power Automate old · 12:58 | View full playlist | Microsoft Power Automate, Power Automate, Power Automate Desk</t>
        </is>
      </c>
      <c r="M30" t="inlineStr">
        <is>
          <t xml:space="preserve">power automate full course ; power automate tutorial for beginners ; power automate project ; power automate desktop full course ; power automate cloud flow tutorial ; PL-500 power automate RPA developer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31">
      <c r="A31" s="3">
        <v>30</v>
      </c>
      <c r="B31" t="inlineStr">
        <is>
          <t xml:space="preserve">Playlist</t>
        </is>
      </c>
      <c r="C31" t="inlineStr">
        <is>
          <t xml:space="preserve">English</t>
        </is>
      </c>
      <c r="D31" t="inlineStr">
        <is>
          <t xml:space="preserve">Course</t>
        </is>
      </c>
      <c r="E31" t="inlineStr">
        <is>
          <t xml:space="preserve">Desktop/RPA, Teams, AI/Copilot</t>
        </is>
      </c>
      <c r="F31" t="inlineStr">
        <is>
          <t xml:space="preserve">Microsoft Power Automate Desktop Tutorials from Beginners to Expert</t>
        </is>
      </c>
      <c r="G31" t="inlineStr">
        <is>
          <t xml:space="preserve">Learn RPA &amp; AI Technologies every day</t>
        </is>
      </c>
      <c r="H31" t="inlineStr">
        <is>
          <t xml:space="preserve"/>
        </is>
      </c>
      <c r="I31" t="inlineStr">
        <is>
          <t xml:space="preserve"/>
        </is>
      </c>
      <c r="J31" t="inlineStr">
        <is>
          <t xml:space="preserve">330 videos</t>
        </is>
      </c>
      <c r="K31" s="2" t="str">
        <f>HYPERLINK("https://www.youtube.com/playlist?list=PLZVSOFwGx4zDK7apie3GqgfX6Tu2kmpMA","https://www.youtube.com/playlist?list=PLZVSOFwGx4zDK7apie3GqgfX6Tu2kmpMA")</f>
        <v>https://www.youtube.com/playlist?list=PLZVSOFwGx4zDK7apie3GqgfX6Tu2kmpMA</v>
      </c>
      <c r="L31" t="inlineStr">
        <is>
          <t xml:space="preserve">Playlist | Power Automate Desktop is now FREE for Windows 10 users (Microsoft Ignite 2021) · 10:20 | Microsoft Power Automate Desktop (Preview) Part 1 · 3:51 | View full playlist | Microsoft Power Automate, Power Automate, Power Automate Desktop, Microsoft Power Automate Desktop, Microsoft Power Aut</t>
        </is>
      </c>
      <c r="M31" t="inlineStr">
        <is>
          <t xml:space="preserve">power automate full course ; power automate tutorial for beginners ; power automate project ; power automate real world project ; power automate desktop full course ; power automate desktop project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32">
      <c r="A32" s="3">
        <v>31</v>
      </c>
      <c r="B32" t="inlineStr">
        <is>
          <t xml:space="preserve">Playlist</t>
        </is>
      </c>
      <c r="C32" t="inlineStr">
        <is>
          <t xml:space="preserve">English</t>
        </is>
      </c>
      <c r="D32" t="inlineStr">
        <is>
          <t xml:space="preserve">Course</t>
        </is>
      </c>
      <c r="E32" t="inlineStr">
        <is>
          <t xml:space="preserve">Desktop/RPA, AI/Copilot</t>
        </is>
      </c>
      <c r="F32" t="inlineStr">
        <is>
          <t xml:space="preserve">Power Automate Desktop Full Course – Scratch to Pro | Course Overview</t>
        </is>
      </c>
      <c r="G32" t="inlineStr">
        <is>
          <t xml:space="preserve">Vijayendra Rao</t>
        </is>
      </c>
      <c r="H32" t="inlineStr">
        <is>
          <t xml:space="preserve"/>
        </is>
      </c>
      <c r="I32" t="inlineStr">
        <is>
          <t xml:space="preserve"/>
        </is>
      </c>
      <c r="J32" t="inlineStr">
        <is>
          <t xml:space="preserve">21 videos</t>
        </is>
      </c>
      <c r="K32" s="2" t="str">
        <f>HYPERLINK("https://www.youtube.com/playlist?list=PLf8NPL8BrW9A7VZYRgulpjbWxVLG_OKmS","https://www.youtube.com/playlist?list=PLf8NPL8BrW9A7VZYRgulpjbWxVLG_OKmS")</f>
        <v>https://www.youtube.com/playlist?list=PLf8NPL8BrW9A7VZYRgulpjbWxVLG_OKmS</v>
      </c>
      <c r="L32" t="inlineStr">
        <is>
          <t xml:space="preserve">Playlist | Learn RPA Power Automate Desktop – Full Course Topics · 16:20 | RPA Basics &amp; Installation | Part 1 – Learn Power Automate Desktop · 1:00:07 | View full playlist | 📌This is a complete RPA Power Automate Desktop course right from "What is RPA?" to "AI and Copilot features" of the tool. The</t>
        </is>
      </c>
      <c r="M32" t="inlineStr">
        <is>
          <t xml:space="preserve">power automate full course ; power automate desktop full course ; power automate desktop project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desktop bangla ; power automate in hindi</t>
        </is>
      </c>
    </row>
    <row r="33">
      <c r="A33" s="3">
        <v>32</v>
      </c>
      <c r="B33" t="inlineStr">
        <is>
          <t xml:space="preserve">Playlist</t>
        </is>
      </c>
      <c r="C33" t="inlineStr">
        <is>
          <t xml:space="preserve">English</t>
        </is>
      </c>
      <c r="D33" t="inlineStr">
        <is>
          <t xml:space="preserve">Course</t>
        </is>
      </c>
      <c r="E33" t="inlineStr">
        <is>
          <t xml:space="preserve">SharePoint, Excel, Email/Outlook, Forms</t>
        </is>
      </c>
      <c r="F33" t="inlineStr">
        <is>
          <t xml:space="preserve">Power Automate for Beginners</t>
        </is>
      </c>
      <c r="G33" t="inlineStr">
        <is>
          <t xml:space="preserve">Reza Dorrani</t>
        </is>
      </c>
      <c r="H33" t="inlineStr">
        <is>
          <t xml:space="preserve"/>
        </is>
      </c>
      <c r="I33" t="inlineStr">
        <is>
          <t xml:space="preserve"/>
        </is>
      </c>
      <c r="J33" t="inlineStr">
        <is>
          <t xml:space="preserve">38 videos</t>
        </is>
      </c>
      <c r="K33" s="2" t="str">
        <f>HYPERLINK("https://www.youtube.com/playlist?list=PLTyFh-qDKAiHscqJBrtIpseDtx5XFgDNk","https://www.youtube.com/playlist?list=PLTyFh-qDKAiHscqJBrtIpseDtx5XFgDNk")</f>
        <v>https://www.youtube.com/playlist?list=PLTyFh-qDKAiHscqJBrtIpseDtx5XFgDNk</v>
      </c>
      <c r="L33" t="inlineStr">
        <is>
          <t xml:space="preserve">Playlist | Add &amp; Update Excel Data to SharePoint List using Power Automate | Excel Import using flow · 41:50 | How to save Microsoft Forms Responses &amp; Attachments to SharePoint Lists or Libraries &amp; Send Email · 34:39 | View full playlist | Welcome to "Power Automate for Beginners"! This playlist is </t>
        </is>
      </c>
      <c r="M33" t="inlineStr">
        <is>
          <t xml:space="preserve">power automate full course ; power automate tutorial for beginners ; power automate project ; power automate cloud flow tutorial ; power automate course ; power automate tutorial playlist ; power automate full course hindi ; power automate hindi</t>
        </is>
      </c>
    </row>
    <row r="34">
      <c r="A34" s="3">
        <v>33</v>
      </c>
      <c r="B34" t="inlineStr">
        <is>
          <t xml:space="preserve">Playlist</t>
        </is>
      </c>
      <c r="C34" t="inlineStr">
        <is>
          <t xml:space="preserve">English</t>
        </is>
      </c>
      <c r="D34" t="inlineStr">
        <is>
          <t xml:space="preserve">Course</t>
        </is>
      </c>
      <c r="E34" t="inlineStr">
        <is>
          <t xml:space="preserve">Desktop/RPA, Cloud flows, Excel, Email/Outlook, Approvals, AI/Copilot, PDF, Forms</t>
        </is>
      </c>
      <c r="F34" t="inlineStr">
        <is>
          <t xml:space="preserve">Microsoft Power Automate Beginners Course</t>
        </is>
      </c>
      <c r="G34" t="inlineStr">
        <is>
          <t xml:space="preserve">Anders Jensen</t>
        </is>
      </c>
      <c r="H34" t="inlineStr">
        <is>
          <t xml:space="preserve"/>
        </is>
      </c>
      <c r="I34" t="inlineStr">
        <is>
          <t xml:space="preserve"/>
        </is>
      </c>
      <c r="J34" t="inlineStr">
        <is>
          <t xml:space="preserve">28 videos</t>
        </is>
      </c>
      <c r="K34" s="2" t="str">
        <f>HYPERLINK("https://www.youtube.com/playlist?list=PLXXz88_TPiHqGlJoWhBDCAxZ9m1N_jsB6","https://www.youtube.com/playlist?list=PLXXz88_TPiHqGlJoWhBDCAxZ9m1N_jsB6")</f>
        <v>https://www.youtube.com/playlist?list=PLXXz88_TPiHqGlJoWhBDCAxZ9m1N_jsB6</v>
      </c>
      <c r="L34" t="inlineStr">
        <is>
          <t xml:space="preserve">Playlist | Updated 3 days ago | How to Learn Microsoft Power Automate - Full Tutorial · 46:27 | Microsoft Power Automate - Tutorial for Beginners · 31:13 | View full playlist | Power Automate (cloud flows) tutorials for beginners: Your first flow, Excel, Forms responses, Outlook and attachments, dat</t>
        </is>
      </c>
      <c r="M34" t="inlineStr">
        <is>
          <t xml:space="preserve">power automate full course ; power automate tutorial for beginners ; power automate cloud flow tutorial ; power automate course ; power automate tutorial playlist</t>
        </is>
      </c>
    </row>
    <row r="35">
      <c r="A35" s="3">
        <v>34</v>
      </c>
      <c r="B35" t="inlineStr">
        <is>
          <t xml:space="preserve">Playlist</t>
        </is>
      </c>
      <c r="C35" t="inlineStr">
        <is>
          <t xml:space="preserve">English</t>
        </is>
      </c>
      <c r="D35" t="inlineStr">
        <is>
          <t xml:space="preserve">Course</t>
        </is>
      </c>
      <c r="E35" t="inlineStr">
        <is>
          <t xml:space="preserve">SharePoint</t>
        </is>
      </c>
      <c r="F35" t="inlineStr">
        <is>
          <t xml:space="preserve">Power Automate Tutorial for Beginners | Complete SharePoint Automation &amp; OData Filter Query Series</t>
        </is>
      </c>
      <c r="G35" t="inlineStr">
        <is>
          <t xml:space="preserve">Fun &amp; Learn</t>
        </is>
      </c>
      <c r="H35" t="inlineStr">
        <is>
          <t xml:space="preserve"/>
        </is>
      </c>
      <c r="I35" t="inlineStr">
        <is>
          <t xml:space="preserve"/>
        </is>
      </c>
      <c r="J35" t="inlineStr">
        <is>
          <t xml:space="preserve">7 videos</t>
        </is>
      </c>
      <c r="K35" s="2" t="str">
        <f>HYPERLINK("https://www.youtube.com/playlist?list=PLwJG-LJKe2GqPavqfpYCRzEvALJ9xqAF1","https://www.youtube.com/playlist?list=PLwJG-LJKe2GqPavqfpYCRzEvALJ9xqAF1")</f>
        <v>https://www.youtube.com/playlist?list=PLwJG-LJKe2GqPavqfpYCRzEvALJ9xqAF1</v>
      </c>
      <c r="L35" t="inlineStr">
        <is>
          <t xml:space="preserve">Playlist | View full playlist</t>
        </is>
      </c>
      <c r="M35" t="inlineStr">
        <is>
          <t xml:space="preserve">power automate full course ; power automate sharepoint automation</t>
        </is>
      </c>
    </row>
    <row r="36">
      <c r="A36" s="3">
        <v>35</v>
      </c>
      <c r="B36" t="inlineStr">
        <is>
          <t xml:space="preserve">Playlist</t>
        </is>
      </c>
      <c r="C36" t="inlineStr">
        <is>
          <t xml:space="preserve">English</t>
        </is>
      </c>
      <c r="D36" t="inlineStr">
        <is>
          <t xml:space="preserve">Course</t>
        </is>
      </c>
      <c r="E36" t="inlineStr">
        <is>
          <t xml:space="preserve"/>
        </is>
      </c>
      <c r="F36" t="inlineStr">
        <is>
          <t xml:space="preserve">Power Automate Tutorials</t>
        </is>
      </c>
      <c r="G36" t="inlineStr">
        <is>
          <t xml:space="preserve">Microsoft Power Automate</t>
        </is>
      </c>
      <c r="H36" t="inlineStr">
        <is>
          <t xml:space="preserve"/>
        </is>
      </c>
      <c r="I36" t="inlineStr">
        <is>
          <t xml:space="preserve"/>
        </is>
      </c>
      <c r="J36" t="inlineStr">
        <is>
          <t xml:space="preserve">19 videos</t>
        </is>
      </c>
      <c r="K36" s="2" t="str">
        <f>HYPERLINK("https://www.youtube.com/playlist?list=PLwh1E-0OEEGI4oSRnTEU3jeMDuU-NFl1D","https://www.youtube.com/playlist?list=PLwh1E-0OEEGI4oSRnTEU3jeMDuU-NFl1D")</f>
        <v>https://www.youtube.com/playlist?list=PLwh1E-0OEEGI4oSRnTEU3jeMDuU-NFl1D</v>
      </c>
      <c r="L36" t="inlineStr">
        <is>
          <t xml:space="preserve">Playlist | How to build your first flow · 6:46 | How to manage connections in Power Automate · 4:53 | View full playlist</t>
        </is>
      </c>
      <c r="M36" t="inlineStr">
        <is>
          <t xml:space="preserve">power automate tutorial for beginners ; power automate cloud flow tutorial ; power automate course ; power automate tutorial playlist ; power automate tutorial bangla ; power automate bangla ; microsoft power automate bangla tutorial ; পাওয়ার অটোমেট</t>
        </is>
      </c>
    </row>
    <row r="37">
      <c r="A37" s="3">
        <v>36</v>
      </c>
      <c r="B37" t="inlineStr">
        <is>
          <t xml:space="preserve">Playlist</t>
        </is>
      </c>
      <c r="C37" t="inlineStr">
        <is>
          <t xml:space="preserve">English</t>
        </is>
      </c>
      <c r="D37" t="inlineStr">
        <is>
          <t xml:space="preserve">Course</t>
        </is>
      </c>
      <c r="E37" t="inlineStr">
        <is>
          <t xml:space="preserve">Desktop/RPA, Excel</t>
        </is>
      </c>
      <c r="F37" t="inlineStr">
        <is>
          <t xml:space="preserve">Excel automation with Microsoft Power Automate Desktop</t>
        </is>
      </c>
      <c r="G37" t="inlineStr">
        <is>
          <t xml:space="preserve">MS Power Automate</t>
        </is>
      </c>
      <c r="H37" t="inlineStr">
        <is>
          <t xml:space="preserve"/>
        </is>
      </c>
      <c r="I37" t="inlineStr">
        <is>
          <t xml:space="preserve"/>
        </is>
      </c>
      <c r="J37" t="inlineStr">
        <is>
          <t xml:space="preserve">9 videos</t>
        </is>
      </c>
      <c r="K37" s="2" t="str">
        <f>HYPERLINK("https://www.youtube.com/playlist?list=PLtS0QJFKl_DbCIfFBMPp3uooVOAK6bZ7Q","https://www.youtube.com/playlist?list=PLtS0QJFKl_DbCIfFBMPp3uooVOAK6bZ7Q")</f>
        <v>https://www.youtube.com/playlist?list=PLtS0QJFKl_DbCIfFBMPp3uooVOAK6bZ7Q</v>
      </c>
      <c r="L37" t="inlineStr">
        <is>
          <t xml:space="preserve">Playlist | Power Automate Desktop Excel Automation Tutorial (Part 1 of 3) · 9:06 | Power Automate Desktop Excel Automation Tutorial (Part 2 of 3) · 10:55 | View full playlist</t>
        </is>
      </c>
      <c r="M37" t="inlineStr">
        <is>
          <t xml:space="preserve">power automate project ; power automate desktop full course ; power automate desktop project ; power automate excel automation ; power automate desktop hindi ; power automate project hindi ; power automate hindi ; power automate tutorial bangla ; power automate desktop bangla</t>
        </is>
      </c>
    </row>
    <row r="38">
      <c r="A38" s="3">
        <v>37</v>
      </c>
      <c r="B38" t="inlineStr">
        <is>
          <t xml:space="preserve">Playlist</t>
        </is>
      </c>
      <c r="C38" t="inlineStr">
        <is>
          <t xml:space="preserve">English</t>
        </is>
      </c>
      <c r="D38" t="inlineStr">
        <is>
          <t xml:space="preserve">Course</t>
        </is>
      </c>
      <c r="E38" t="inlineStr">
        <is>
          <t xml:space="preserve">Desktop/RPA, Web automation</t>
        </is>
      </c>
      <c r="F38" t="inlineStr">
        <is>
          <t xml:space="preserve">Web automation in Microsoft Power Automate Desktop</t>
        </is>
      </c>
      <c r="G38" t="inlineStr">
        <is>
          <t xml:space="preserve">MS Power Automate</t>
        </is>
      </c>
      <c r="H38" t="inlineStr">
        <is>
          <t xml:space="preserve"/>
        </is>
      </c>
      <c r="I38" t="inlineStr">
        <is>
          <t xml:space="preserve"/>
        </is>
      </c>
      <c r="J38" t="inlineStr">
        <is>
          <t xml:space="preserve">6 videos</t>
        </is>
      </c>
      <c r="K38" s="2" t="str">
        <f>HYPERLINK("https://www.youtube.com/playlist?list=PLtS0QJFKl_Da-fdSNTZQFMwwgnykMhb3B","https://www.youtube.com/playlist?list=PLtS0QJFKl_Da-fdSNTZQFMwwgnykMhb3B")</f>
        <v>https://www.youtube.com/playlist?list=PLtS0QJFKl_Da-fdSNTZQFMwwgnykMhb3B</v>
      </c>
      <c r="L38" t="inlineStr">
        <is>
          <t xml:space="preserve">Playlist | Scraping data from the web in Microsoft Power Automate for Desktop · 14:44 | How to Download Files from Chrome with Microsoft Power Automate Desktop · 7:00 | View full playlist</t>
        </is>
      </c>
      <c r="M38" t="inlineStr">
        <is>
          <t xml:space="preserve">power automate real world project ; power automate desktop project ; power automate project hindi</t>
        </is>
      </c>
    </row>
    <row r="39">
      <c r="A39" s="3">
        <v>38</v>
      </c>
      <c r="B39" t="inlineStr">
        <is>
          <t xml:space="preserve">Playlist</t>
        </is>
      </c>
      <c r="C39" t="inlineStr">
        <is>
          <t xml:space="preserve">English</t>
        </is>
      </c>
      <c r="D39" t="inlineStr">
        <is>
          <t xml:space="preserve">Course</t>
        </is>
      </c>
      <c r="E39" t="inlineStr">
        <is>
          <t xml:space="preserve">Desktop/RPA</t>
        </is>
      </c>
      <c r="F39" t="inlineStr">
        <is>
          <t xml:space="preserve">Power Automate Desktop</t>
        </is>
      </c>
      <c r="G39" t="inlineStr">
        <is>
          <t xml:space="preserve">Daniel Christian</t>
        </is>
      </c>
      <c r="H39" t="inlineStr">
        <is>
          <t xml:space="preserve"/>
        </is>
      </c>
      <c r="I39" t="inlineStr">
        <is>
          <t xml:space="preserve"/>
        </is>
      </c>
      <c r="J39" t="inlineStr">
        <is>
          <t xml:space="preserve">27 videos</t>
        </is>
      </c>
      <c r="K39" s="2" t="str">
        <f>HYPERLINK("https://www.youtube.com/playlist?list=PLdvjDcj8jpwk5iD6Uh1WJwyVq9bjyXlrL","https://www.youtube.com/playlist?list=PLdvjDcj8jpwk5iD6Uh1WJwyVq9bjyXlrL")</f>
        <v>https://www.youtube.com/playlist?list=PLdvjDcj8jpwk5iD6Uh1WJwyVq9bjyXlrL</v>
      </c>
      <c r="L39" t="inlineStr">
        <is>
          <t xml:space="preserve">Playlist | Introduction to Power Automate for Desktop · 29:58 | Power Automate Desktop Recorder · 23:21 | View full playlist</t>
        </is>
      </c>
      <c r="M39" t="inlineStr">
        <is>
          <t xml:space="preserve">power automate desktop full course ; power automate desktop bangla ; power automate bangla</t>
        </is>
      </c>
    </row>
    <row r="40">
      <c r="A40" s="3">
        <v>39</v>
      </c>
      <c r="B40" t="inlineStr">
        <is>
          <t xml:space="preserve">Playlist</t>
        </is>
      </c>
      <c r="C40" t="inlineStr">
        <is>
          <t xml:space="preserve">English</t>
        </is>
      </c>
      <c r="D40" t="inlineStr">
        <is>
          <t xml:space="preserve">Course</t>
        </is>
      </c>
      <c r="E40" t="inlineStr">
        <is>
          <t xml:space="preserve">SharePoint, Approvals</t>
        </is>
      </c>
      <c r="F40" t="inlineStr">
        <is>
          <t xml:space="preserve">Flow Approvals Cookbook</t>
        </is>
      </c>
      <c r="G40" t="inlineStr">
        <is>
          <t xml:space="preserve">Reza Dorrani</t>
        </is>
      </c>
      <c r="H40" t="inlineStr">
        <is>
          <t xml:space="preserve"/>
        </is>
      </c>
      <c r="I40" t="inlineStr">
        <is>
          <t xml:space="preserve"/>
        </is>
      </c>
      <c r="J40" t="inlineStr">
        <is>
          <t xml:space="preserve">35 videos</t>
        </is>
      </c>
      <c r="K40" s="2" t="str">
        <f>HYPERLINK("https://www.youtube.com/playlist?list=PLTyFh-qDKAiFUGTtwSwFT79Y7_jq_Aipe","https://www.youtube.com/playlist?list=PLTyFh-qDKAiFUGTtwSwFT79Y7_jq_Aipe")</f>
        <v>https://www.youtube.com/playlist?list=PLTyFh-qDKAiFUGTtwSwFT79Y7_jq_Aipe</v>
      </c>
      <c r="L40" t="inlineStr">
        <is>
          <t xml:space="preserve">Playlist | How to build Power Automate Approval Workflows for SharePoint | Step by Step Tutorial · 21:58 | Power Automate Multi Level Approval Workflow | Serial Approval | Multiple Approvers · 17:49 | View full playlist | One stop shop for everything you need to know about the flow approval action</t>
        </is>
      </c>
      <c r="M40" t="inlineStr">
        <is>
          <t xml:space="preserve">power automate approval workflow</t>
        </is>
      </c>
    </row>
    <row r="41">
      <c r="A41" s="3">
        <v>40</v>
      </c>
      <c r="B41" t="inlineStr">
        <is>
          <t xml:space="preserve">Playlist</t>
        </is>
      </c>
      <c r="C41" t="inlineStr">
        <is>
          <t xml:space="preserve">English</t>
        </is>
      </c>
      <c r="D41" t="inlineStr">
        <is>
          <t xml:space="preserve">Course</t>
        </is>
      </c>
      <c r="E41" t="inlineStr">
        <is>
          <t xml:space="preserve">Approvals, Power Apps</t>
        </is>
      </c>
      <c r="F41" t="inlineStr">
        <is>
          <t xml:space="preserve">Claim Approval Application using PowerApps &amp; Power Automate</t>
        </is>
      </c>
      <c r="G41" t="inlineStr">
        <is>
          <t xml:space="preserve">Tips By Anil</t>
        </is>
      </c>
      <c r="H41" t="inlineStr">
        <is>
          <t xml:space="preserve"/>
        </is>
      </c>
      <c r="I41" t="inlineStr">
        <is>
          <t xml:space="preserve"/>
        </is>
      </c>
      <c r="J41" t="inlineStr">
        <is>
          <t xml:space="preserve">8 videos</t>
        </is>
      </c>
      <c r="K41" s="2" t="str">
        <f>HYPERLINK("https://www.youtube.com/playlist?list=PLFKlnjWl05Iy_SKA6cGrKQo1Mslw0BwwE","https://www.youtube.com/playlist?list=PLFKlnjWl05Iy_SKA6cGrKQo1Mslw0BwwE")</f>
        <v>https://www.youtube.com/playlist?list=PLFKlnjWl05Iy_SKA6cGrKQo1Mslw0BwwE</v>
      </c>
      <c r="L41" t="inlineStr">
        <is>
          <t xml:space="preserve">Playlist | Claim Approval Application using PowerApps and Power Automate - Part 1 · 18:18 | Submit New Claim using New Form PowerApps - Claim Request PowerApps Part 2 · 11:33 | View full playlist</t>
        </is>
      </c>
      <c r="M41" t="inlineStr">
        <is>
          <t xml:space="preserve">power automate approval workflow</t>
        </is>
      </c>
    </row>
    <row r="42">
      <c r="A42" s="3">
        <v>41</v>
      </c>
      <c r="B42" t="inlineStr">
        <is>
          <t xml:space="preserve">Playlist</t>
        </is>
      </c>
      <c r="C42" t="inlineStr">
        <is>
          <t xml:space="preserve">English</t>
        </is>
      </c>
      <c r="D42" t="inlineStr">
        <is>
          <t xml:space="preserve">Course</t>
        </is>
      </c>
      <c r="E42" t="inlineStr">
        <is>
          <t xml:space="preserve">Email/Outlook, AI/Copilot, Power Apps</t>
        </is>
      </c>
      <c r="F42" t="inlineStr">
        <is>
          <t xml:space="preserve">AI Builder</t>
        </is>
      </c>
      <c r="G42" t="inlineStr">
        <is>
          <t xml:space="preserve">Microsoft Power Platform</t>
        </is>
      </c>
      <c r="H42" t="inlineStr">
        <is>
          <t xml:space="preserve"/>
        </is>
      </c>
      <c r="I42" t="inlineStr">
        <is>
          <t xml:space="preserve"/>
        </is>
      </c>
      <c r="J42" t="inlineStr">
        <is>
          <t xml:space="preserve">17 videos</t>
        </is>
      </c>
      <c r="K42" s="2" t="str">
        <f>HYPERLINK("https://www.youtube.com/playlist?list=PLi9EhCY4z99UYDkinJ3nT3VgKoixgGDDb","https://www.youtube.com/playlist?list=PLi9EhCY4z99UYDkinJ3nT3VgKoixgGDDb")</f>
        <v>https://www.youtube.com/playlist?list=PLi9EhCY4z99UYDkinJ3nT3VgKoixgGDDb</v>
      </c>
      <c r="L42" t="inlineStr">
        <is>
          <t xml:space="preserve">Playlist | AI Builder Overview · 1:24 | How to automate extracting text from emails in just 1 minute · 1:37 | View full playlist | AI Builder is a Microsoft Power Platform capability that provides AI models that are designed to optimize your business processes. AI Builder enables your business to us</t>
        </is>
      </c>
      <c r="M42" t="inlineStr">
        <is>
          <t xml:space="preserve">power automate AI builder</t>
        </is>
      </c>
    </row>
    <row r="43">
      <c r="A43" s="3">
        <v>42</v>
      </c>
      <c r="B43" t="inlineStr">
        <is>
          <t xml:space="preserve">Playlist</t>
        </is>
      </c>
      <c r="C43" t="inlineStr">
        <is>
          <t xml:space="preserve">English</t>
        </is>
      </c>
      <c r="D43" t="inlineStr">
        <is>
          <t xml:space="preserve">Course</t>
        </is>
      </c>
      <c r="E43" t="inlineStr">
        <is>
          <t xml:space="preserve">Excel, Email/Outlook, AI/Copilot</t>
        </is>
      </c>
      <c r="F43" t="inlineStr">
        <is>
          <t xml:space="preserve">Power Automate AI Builder</t>
        </is>
      </c>
      <c r="G43" t="inlineStr">
        <is>
          <t xml:space="preserve">Technologiate</t>
        </is>
      </c>
      <c r="H43" t="inlineStr">
        <is>
          <t xml:space="preserve"/>
        </is>
      </c>
      <c r="I43" t="inlineStr">
        <is>
          <t xml:space="preserve"/>
        </is>
      </c>
      <c r="J43" t="inlineStr">
        <is>
          <t xml:space="preserve">12 videos</t>
        </is>
      </c>
      <c r="K43" s="2" t="str">
        <f>HYPERLINK("https://www.youtube.com/playlist?list=PL8LAhuciklLZNlNaJMdtnlfL5PYEib5Nl","https://www.youtube.com/playlist?list=PL8LAhuciklLZNlNaJMdtnlfL5PYEib5Nl")</f>
        <v>https://www.youtube.com/playlist?list=PL8LAhuciklLZNlNaJMdtnlfL5PYEib5Nl</v>
      </c>
      <c r="L43" t="inlineStr">
        <is>
          <t xml:space="preserve">Playlist | How to Auto-Send Follow-Up Emails in Outlook When No One Replies | Power Automate + Excel · 24:46 | How to Auto-Forward Outlook Emails to the Right Department with AI Builder and Power Automate · 14:04 | View full playlist | Power Automate + AI Builder, made practical. This playlist walks</t>
        </is>
      </c>
      <c r="M43" t="inlineStr">
        <is>
          <t xml:space="preserve">power automate AI builder</t>
        </is>
      </c>
    </row>
    <row r="44">
      <c r="A44" s="3">
        <v>43</v>
      </c>
      <c r="B44" t="inlineStr">
        <is>
          <t xml:space="preserve">Playlist</t>
        </is>
      </c>
      <c r="C44" t="inlineStr">
        <is>
          <t xml:space="preserve">English</t>
        </is>
      </c>
      <c r="D44" t="inlineStr">
        <is>
          <t xml:space="preserve">Course</t>
        </is>
      </c>
      <c r="E44" t="inlineStr">
        <is>
          <t xml:space="preserve">SharePoint, Excel, Email/Outlook, AI/Copilot</t>
        </is>
      </c>
      <c r="F44" t="inlineStr">
        <is>
          <t xml:space="preserve">AI Builder for Power Platform</t>
        </is>
      </c>
      <c r="G44" t="inlineStr">
        <is>
          <t xml:space="preserve">Reza Dorrani</t>
        </is>
      </c>
      <c r="H44" t="inlineStr">
        <is>
          <t xml:space="preserve"/>
        </is>
      </c>
      <c r="I44" t="inlineStr">
        <is>
          <t xml:space="preserve"/>
        </is>
      </c>
      <c r="J44" t="inlineStr">
        <is>
          <t xml:space="preserve">10 videos</t>
        </is>
      </c>
      <c r="K44" s="2" t="str">
        <f>HYPERLINK("https://www.youtube.com/playlist?list=PLTyFh-qDKAiEecEOiZLLvdPcM_5KmiHFd","https://www.youtube.com/playlist?list=PLTyFh-qDKAiEecEOiZLLvdPcM_5KmiHFd")</f>
        <v>https://www.youtube.com/playlist?list=PLTyFh-qDKAiEecEOiZLLvdPcM_5KmiHFd</v>
      </c>
      <c r="L44" t="inlineStr">
        <is>
          <t xml:space="preserve">Playlist | This AI Flow Exports ANY SharePoint List to Excel with ONE Prompt 🚀🔥 · 22:52 | Extract text from Email Body using AI in Power Automate flows | Azure OpenAI GPT · 12:49 | View full playlist</t>
        </is>
      </c>
      <c r="M44" t="inlineStr">
        <is>
          <t xml:space="preserve">power automate AI builder</t>
        </is>
      </c>
    </row>
    <row r="45">
      <c r="A45" s="3">
        <v>44</v>
      </c>
      <c r="B45" t="inlineStr">
        <is>
          <t xml:space="preserve">Playlist</t>
        </is>
      </c>
      <c r="C45" t="inlineStr">
        <is>
          <t xml:space="preserve">English</t>
        </is>
      </c>
      <c r="D45" t="inlineStr">
        <is>
          <t xml:space="preserve">Course</t>
        </is>
      </c>
      <c r="E45" t="inlineStr">
        <is>
          <t xml:space="preserve">AI/Copilot</t>
        </is>
      </c>
      <c r="F45" t="inlineStr">
        <is>
          <t xml:space="preserve">Power Platform - AI Builder</t>
        </is>
      </c>
      <c r="G45" t="inlineStr">
        <is>
          <t xml:space="preserve">Dhruvin Shah</t>
        </is>
      </c>
      <c r="H45" t="inlineStr">
        <is>
          <t xml:space="preserve"/>
        </is>
      </c>
      <c r="I45" t="inlineStr">
        <is>
          <t xml:space="preserve"/>
        </is>
      </c>
      <c r="J45" t="inlineStr">
        <is>
          <t xml:space="preserve">6 videos</t>
        </is>
      </c>
      <c r="K45" s="2" t="str">
        <f>HYPERLINK("https://www.youtube.com/playlist?list=PLib8Q64STW-s6h5Ceo7Ug-uWD-Orl4Ah4","https://www.youtube.com/playlist?list=PLib8Q64STW-s6h5Ceo7Ug-uWD-Orl4Ah4")</f>
        <v>https://www.youtube.com/playlist?list=PLib8Q64STW-s6h5Ceo7Ug-uWD-Orl4Ah4</v>
      </c>
      <c r="L45" t="inlineStr">
        <is>
          <t xml:space="preserve">Playlist | Custom AI Prompts in Power Platform - Generate Summary from Microsoft Form Data · 18:06 | Unstructured Document Processing with Power Automate and AI Builder · 7:41 | View full playlist</t>
        </is>
      </c>
      <c r="M45" t="inlineStr">
        <is>
          <t xml:space="preserve">power automate AI builder</t>
        </is>
      </c>
    </row>
    <row r="46">
      <c r="A46" s="3">
        <v>45</v>
      </c>
      <c r="B46" t="inlineStr">
        <is>
          <t xml:space="preserve">Playlist</t>
        </is>
      </c>
      <c r="C46" t="inlineStr">
        <is>
          <t xml:space="preserve">English</t>
        </is>
      </c>
      <c r="D46" t="inlineStr">
        <is>
          <t xml:space="preserve">Course</t>
        </is>
      </c>
      <c r="E46" t="inlineStr">
        <is>
          <t xml:space="preserve">AI/Copilot</t>
        </is>
      </c>
      <c r="F46" t="inlineStr">
        <is>
          <t xml:space="preserve">power automate ai builder prediction</t>
        </is>
      </c>
      <c r="G46" t="inlineStr">
        <is>
          <t xml:space="preserve">Yacine</t>
        </is>
      </c>
      <c r="H46" t="inlineStr">
        <is>
          <t xml:space="preserve"/>
        </is>
      </c>
      <c r="I46" t="inlineStr">
        <is>
          <t xml:space="preserve"/>
        </is>
      </c>
      <c r="J46" t="inlineStr">
        <is>
          <t xml:space="preserve">17 videos</t>
        </is>
      </c>
      <c r="K46" s="2" t="str">
        <f>HYPERLINK("https://www.youtube.com/playlist?list=PLiGddTVk9eK9_dVmvttzJK_lkWZM3S8rb","https://www.youtube.com/playlist?list=PLiGddTVk9eK9_dVmvttzJK_lkWZM3S8rb")</f>
        <v>https://www.youtube.com/playlist?list=PLiGddTVk9eK9_dVmvttzJK_lkWZM3S8rb</v>
      </c>
      <c r="L46" t="inlineStr">
        <is>
          <t xml:space="preserve">Playlist | Test Predict AI Model - Power Platform · 6:53 | AI Builder - How to Train and Optimise a Text Classification Model · 11:46 | View full playlist</t>
        </is>
      </c>
      <c r="M46" t="inlineStr">
        <is>
          <t xml:space="preserve">power automate AI builder</t>
        </is>
      </c>
    </row>
    <row r="47">
      <c r="A47" s="3">
        <v>46</v>
      </c>
      <c r="B47" t="inlineStr">
        <is>
          <t xml:space="preserve">Playlist</t>
        </is>
      </c>
      <c r="C47" t="inlineStr">
        <is>
          <t xml:space="preserve">English</t>
        </is>
      </c>
      <c r="D47" t="inlineStr">
        <is>
          <t xml:space="preserve">Course</t>
        </is>
      </c>
      <c r="E47" t="inlineStr">
        <is>
          <t xml:space="preserve">AI/Copilot</t>
        </is>
      </c>
      <c r="F47" t="inlineStr">
        <is>
          <t xml:space="preserve">Copilot Studio for Power Platform Makers</t>
        </is>
      </c>
      <c r="G47" t="inlineStr">
        <is>
          <t xml:space="preserve">Microsoft Power Platform</t>
        </is>
      </c>
      <c r="H47" t="inlineStr">
        <is>
          <t xml:space="preserve"/>
        </is>
      </c>
      <c r="I47" t="inlineStr">
        <is>
          <t xml:space="preserve"/>
        </is>
      </c>
      <c r="J47" t="inlineStr">
        <is>
          <t xml:space="preserve">29 videos</t>
        </is>
      </c>
      <c r="K47" s="2" t="str">
        <f>HYPERLINK("https://www.youtube.com/playlist?list=PLi9EhCY4z99XR9Me1e4LZTF-YsnklmEsa","https://www.youtube.com/playlist?list=PLi9EhCY4z99XR9Me1e4LZTF-YsnklmEsa")</f>
        <v>https://www.youtube.com/playlist?list=PLi9EhCY4z99XR9Me1e4LZTF-YsnklmEsa</v>
      </c>
      <c r="L47" t="inlineStr">
        <is>
          <t xml:space="preserve">Playlist | Copilot Studio for Power Platform Makers | Course Intro · 2:54 | What is Copilot Studio and why you need it? | EP02 · 8:54 | View full playlist | Join Shane Young, Power Platform MVP, as he sets the stage with demos, step-by-step builds, and deep dives into product-specific features that </t>
        </is>
      </c>
      <c r="M47" t="inlineStr">
        <is>
          <t xml:space="preserve">power automate copilot</t>
        </is>
      </c>
    </row>
    <row r="48">
      <c r="A48" s="3">
        <v>47</v>
      </c>
      <c r="B48" t="inlineStr">
        <is>
          <t xml:space="preserve">Playlist</t>
        </is>
      </c>
      <c r="C48" t="inlineStr">
        <is>
          <t xml:space="preserve">English</t>
        </is>
      </c>
      <c r="D48" t="inlineStr">
        <is>
          <t xml:space="preserve">Course</t>
        </is>
      </c>
      <c r="E48" t="inlineStr">
        <is>
          <t xml:space="preserve">Desktop/RPA, Cloud flows, Excel, AI/Copilot, Power Apps, Dataverse</t>
        </is>
      </c>
      <c r="F48" t="inlineStr">
        <is>
          <t xml:space="preserve">Learn PL-500 Power Automate RPA Developer Associate Certification Course</t>
        </is>
      </c>
      <c r="G48" t="inlineStr">
        <is>
          <t xml:space="preserve">Learn RPA &amp; AI Technologies every day</t>
        </is>
      </c>
      <c r="H48" t="inlineStr">
        <is>
          <t xml:space="preserve"/>
        </is>
      </c>
      <c r="I48" t="inlineStr">
        <is>
          <t xml:space="preserve"/>
        </is>
      </c>
      <c r="J48" t="inlineStr">
        <is>
          <t xml:space="preserve">20 videos</t>
        </is>
      </c>
      <c r="K48" s="2" t="str">
        <f>HYPERLINK("https://www.youtube.com/playlist?list=PLZVSOFwGx4zDX7vnfdK1IVuomrm3fKVKB","https://www.youtube.com/playlist?list=PLZVSOFwGx4zDX7vnfdK1IVuomrm3fKVKB")</f>
        <v>https://www.youtube.com/playlist?list=PLZVSOFwGx4zDX7vnfdK1IVuomrm3fKVKB</v>
      </c>
      <c r="L48" t="inlineStr">
        <is>
          <t xml:space="preserve">Playlist | PL 500 Certification : Questions and Answers || Q20 on "Configure an environment" · 13:33 | PL 500 Certification : Questions and Answers || Q18 on "Share Cloud Flows and Desktop Flows" · 6:58 | View full playlist | #pl500 #microsoftpowerautomate #microsoftpowerautomatedesktop #powerautoma</t>
        </is>
      </c>
      <c r="M48" t="inlineStr">
        <is>
          <t xml:space="preserve">PL-500 power automate RPA developer</t>
        </is>
      </c>
    </row>
    <row r="49">
      <c r="A49" s="3">
        <v>48</v>
      </c>
      <c r="B49" t="inlineStr">
        <is>
          <t xml:space="preserve">Playlist</t>
        </is>
      </c>
      <c r="C49" t="inlineStr">
        <is>
          <t xml:space="preserve">English</t>
        </is>
      </c>
      <c r="D49" t="inlineStr">
        <is>
          <t xml:space="preserve">Course</t>
        </is>
      </c>
      <c r="E49" t="inlineStr">
        <is>
          <t xml:space="preserve">Desktop/RPA</t>
        </is>
      </c>
      <c r="F49" t="inlineStr">
        <is>
          <t xml:space="preserve">PL500 Practice Questions - RPA Developer</t>
        </is>
      </c>
      <c r="G49" t="inlineStr">
        <is>
          <t xml:space="preserve">Ska-doosh</t>
        </is>
      </c>
      <c r="H49" t="inlineStr">
        <is>
          <t xml:space="preserve"/>
        </is>
      </c>
      <c r="I49" t="inlineStr">
        <is>
          <t xml:space="preserve"/>
        </is>
      </c>
      <c r="J49" t="inlineStr">
        <is>
          <t xml:space="preserve">30 videos</t>
        </is>
      </c>
      <c r="K49" s="2" t="str">
        <f>HYPERLINK("https://www.youtube.com/playlist?list=PLz5dITSUzInZWo6hZ8bTXv8LmShGrziFJ","https://www.youtube.com/playlist?list=PLz5dITSUzInZWo6hZ8bTXv8LmShGrziFJ")</f>
        <v>https://www.youtube.com/playlist?list=PLz5dITSUzInZWo6hZ8bTXv8LmShGrziFJ</v>
      </c>
      <c r="L49" t="inlineStr">
        <is>
          <t xml:space="preserve">Playlist | PL500 Quiz - Module 1 - Build your first Power Automate Desktop flow · 5:31 | PL500 Quiz - Module 1 - Define input and output parameters in Power Automate · 4:31 | View full playlist</t>
        </is>
      </c>
      <c r="M49" t="inlineStr">
        <is>
          <t xml:space="preserve">PL-500 power automate RPA developer</t>
        </is>
      </c>
    </row>
    <row r="50">
      <c r="A50" s="3">
        <v>49</v>
      </c>
      <c r="B50" t="inlineStr">
        <is>
          <t xml:space="preserve">Playlist</t>
        </is>
      </c>
      <c r="C50" t="inlineStr">
        <is>
          <t xml:space="preserve">English</t>
        </is>
      </c>
      <c r="D50" t="inlineStr">
        <is>
          <t xml:space="preserve">Course</t>
        </is>
      </c>
      <c r="E50" t="inlineStr">
        <is>
          <t xml:space="preserve"/>
        </is>
      </c>
      <c r="F50" t="inlineStr">
        <is>
          <t xml:space="preserve">PL-900: 240 Questions and Answers</t>
        </is>
      </c>
      <c r="G50" t="inlineStr">
        <is>
          <t xml:space="preserve">Code with Bibek</t>
        </is>
      </c>
      <c r="H50" t="inlineStr">
        <is>
          <t xml:space="preserve"/>
        </is>
      </c>
      <c r="I50" t="inlineStr">
        <is>
          <t xml:space="preserve"/>
        </is>
      </c>
      <c r="J50" t="inlineStr">
        <is>
          <t xml:space="preserve">24 videos</t>
        </is>
      </c>
      <c r="K50" s="2" t="str">
        <f>HYPERLINK("https://www.youtube.com/playlist?list=PLiUrl-SQRR7JqXbKIDuZ2VNdxPZJjz_YP","https://www.youtube.com/playlist?list=PLiUrl-SQRR7JqXbKIDuZ2VNdxPZJjz_YP")</f>
        <v>https://www.youtube.com/playlist?list=PLiUrl-SQRR7JqXbKIDuZ2VNdxPZJjz_YP</v>
      </c>
      <c r="L50" t="inlineStr">
        <is>
          <t xml:space="preserve">Playlist | PL-900 Q&amp;A #1 - Microsoft Power Platform Fundamentals · 9:46 | PL-900 Q&amp;A #2 - Microsoft Power Platform Fundamentals · 10:30 | View full playlist</t>
        </is>
      </c>
      <c r="M50" t="inlineStr">
        <is>
          <t xml:space="preserve">PL-900 power platform</t>
        </is>
      </c>
    </row>
    <row r="51">
      <c r="A51" s="3">
        <v>50</v>
      </c>
      <c r="B51" t="inlineStr">
        <is>
          <t xml:space="preserve">Playlist</t>
        </is>
      </c>
      <c r="C51" t="inlineStr">
        <is>
          <t xml:space="preserve">English</t>
        </is>
      </c>
      <c r="D51" t="inlineStr">
        <is>
          <t xml:space="preserve">Course</t>
        </is>
      </c>
      <c r="E51" t="inlineStr">
        <is>
          <t xml:space="preserve"/>
        </is>
      </c>
      <c r="F51" t="inlineStr">
        <is>
          <t xml:space="preserve">MS Power Platform Fundamentals PL-900</t>
        </is>
      </c>
      <c r="G51" t="inlineStr">
        <is>
          <t xml:space="preserve">Martin Hernandez</t>
        </is>
      </c>
      <c r="H51" t="inlineStr">
        <is>
          <t xml:space="preserve"/>
        </is>
      </c>
      <c r="I51" t="inlineStr">
        <is>
          <t xml:space="preserve"/>
        </is>
      </c>
      <c r="J51" t="inlineStr">
        <is>
          <t xml:space="preserve">6 videos</t>
        </is>
      </c>
      <c r="K51" s="2" t="str">
        <f>HYPERLINK("https://www.youtube.com/playlist?list=PLTB18RFES4v2vLuJ9UDKBSSDRuLIXNbVx","https://www.youtube.com/playlist?list=PLTB18RFES4v2vLuJ9UDKBSSDRuLIXNbVx")</f>
        <v>https://www.youtube.com/playlist?list=PLTB18RFES4v2vLuJ9UDKBSSDRuLIXNbVx</v>
      </c>
      <c r="L51" t="inlineStr">
        <is>
          <t xml:space="preserve">Playlist | PL-900 Microsoft Power Platform Fundamentals Study Cram · 1:06:42 | PL-900 Full Course | Power Platform Fundamentals Certification Training · 2:12:54 | View full playlist</t>
        </is>
      </c>
      <c r="M51" t="inlineStr">
        <is>
          <t xml:space="preserve">PL-900 power platform</t>
        </is>
      </c>
    </row>
    <row r="52">
      <c r="A52" s="3">
        <v>51</v>
      </c>
      <c r="B52" t="inlineStr">
        <is>
          <t xml:space="preserve">Playlist</t>
        </is>
      </c>
      <c r="C52" t="inlineStr">
        <is>
          <t xml:space="preserve">English</t>
        </is>
      </c>
      <c r="D52" t="inlineStr">
        <is>
          <t xml:space="preserve">Course</t>
        </is>
      </c>
      <c r="E52" t="inlineStr">
        <is>
          <t xml:space="preserve"/>
        </is>
      </c>
      <c r="F52" t="inlineStr">
        <is>
          <t xml:space="preserve">PL-900</t>
        </is>
      </c>
      <c r="G52" t="inlineStr">
        <is>
          <t xml:space="preserve">Jason Doyle</t>
        </is>
      </c>
      <c r="H52" t="inlineStr">
        <is>
          <t xml:space="preserve"/>
        </is>
      </c>
      <c r="I52" t="inlineStr">
        <is>
          <t xml:space="preserve"/>
        </is>
      </c>
      <c r="J52" t="inlineStr">
        <is>
          <t xml:space="preserve">20 videos</t>
        </is>
      </c>
      <c r="K52" s="2" t="str">
        <f>HYPERLINK("https://www.youtube.com/playlist?list=PLj0gQlZ1nN2WVBviBu_TgdueIffqksN2V","https://www.youtube.com/playlist?list=PLj0gQlZ1nN2WVBviBu_TgdueIffqksN2V")</f>
        <v>https://www.youtube.com/playlist?list=PLj0gQlZ1nN2WVBviBu_TgdueIffqksN2V</v>
      </c>
      <c r="L52" t="inlineStr">
        <is>
          <t xml:space="preserve">Playlist | PL-900 Full Course | Power Platform Fundamentals Certification Training · 2:12:54 | PL-900 Microsoft Power Platform Fundamentals Study Cram · 1:06:42 | View full playlist</t>
        </is>
      </c>
      <c r="M52" t="inlineStr">
        <is>
          <t xml:space="preserve">PL-900 power platform</t>
        </is>
      </c>
    </row>
    <row r="53">
      <c r="A53" s="3">
        <v>52</v>
      </c>
      <c r="B53" t="inlineStr">
        <is>
          <t xml:space="preserve">Playlist</t>
        </is>
      </c>
      <c r="C53" t="inlineStr">
        <is>
          <t xml:space="preserve">English</t>
        </is>
      </c>
      <c r="D53" t="inlineStr">
        <is>
          <t xml:space="preserve">Course</t>
        </is>
      </c>
      <c r="E53" t="inlineStr">
        <is>
          <t xml:space="preserve"/>
        </is>
      </c>
      <c r="F53" t="inlineStr">
        <is>
          <t xml:space="preserve">PL-900 Microsoft Power Platform Fundamentals Study Cram (John Savill's Technical Training) and other</t>
        </is>
      </c>
      <c r="G53" t="inlineStr">
        <is>
          <t xml:space="preserve">HilDuffRox18</t>
        </is>
      </c>
      <c r="H53" t="inlineStr">
        <is>
          <t xml:space="preserve"/>
        </is>
      </c>
      <c r="I53" t="inlineStr">
        <is>
          <t xml:space="preserve"/>
        </is>
      </c>
      <c r="J53" t="inlineStr">
        <is>
          <t xml:space="preserve">15 videos</t>
        </is>
      </c>
      <c r="K53" s="2" t="str">
        <f>HYPERLINK("https://www.youtube.com/playlist?list=PLO3D3EAP-61MTY4fusRc3ph25PXWOMnsl","https://www.youtube.com/playlist?list=PLO3D3EAP-61MTY4fusRc3ph25PXWOMnsl")</f>
        <v>https://www.youtube.com/playlist?list=PLO3D3EAP-61MTY4fusRc3ph25PXWOMnsl</v>
      </c>
      <c r="L53" t="inlineStr">
        <is>
          <t xml:space="preserve">Playlist | PL-900 Microsoft Power Platform Fundamentals Study Cram · 1:06:42 | PL-900 Full Course | Power Platform Fundamentals Certification Training · 2:12:54 | View full playlist | hope you like the playlist too :D will be watching them while cooking dinner :) uploaded by John Savill's Technical </t>
        </is>
      </c>
      <c r="M53" t="inlineStr">
        <is>
          <t xml:space="preserve">PL-900 power platform</t>
        </is>
      </c>
    </row>
    <row r="54">
      <c r="A54" s="3">
        <v>53</v>
      </c>
      <c r="B54" t="inlineStr">
        <is>
          <t xml:space="preserve">Playlist</t>
        </is>
      </c>
      <c r="C54" t="inlineStr">
        <is>
          <t xml:space="preserve">English</t>
        </is>
      </c>
      <c r="D54" t="inlineStr">
        <is>
          <t xml:space="preserve">Course</t>
        </is>
      </c>
      <c r="E54" t="inlineStr">
        <is>
          <t xml:space="preserve"/>
        </is>
      </c>
      <c r="F54" t="inlineStr">
        <is>
          <t xml:space="preserve">Power Automate Advanced Videos</t>
        </is>
      </c>
      <c r="G54" t="inlineStr">
        <is>
          <t xml:space="preserve">Jon Levesque</t>
        </is>
      </c>
      <c r="H54" t="inlineStr">
        <is>
          <t xml:space="preserve"/>
        </is>
      </c>
      <c r="I54" t="inlineStr">
        <is>
          <t xml:space="preserve"/>
        </is>
      </c>
      <c r="J54" t="inlineStr">
        <is>
          <t xml:space="preserve">21 videos</t>
        </is>
      </c>
      <c r="K54" s="2" t="str">
        <f>HYPERLINK("https://www.youtube.com/playlist?list=PLN-cZRQeAiDUy2_6EMagB7NHaFTVxPjeN","https://www.youtube.com/playlist?list=PLN-cZRQeAiDUy2_6EMagB7NHaFTVxPjeN")</f>
        <v>https://www.youtube.com/playlist?list=PLN-cZRQeAiDUy2_6EMagB7NHaFTVxPjeN</v>
      </c>
      <c r="L54" t="inlineStr">
        <is>
          <t xml:space="preserve">Playlist | Power Automate Tutorial - Expressions 301 · 46:54 | Microsoft Power Automate Tutorial - Conditional Triggers · 25:13 | View full playlist | Looking for some of the more advanced Power Automate Material? This is the playlist for you!</t>
        </is>
      </c>
      <c r="M54" t="inlineStr">
        <is>
          <t xml:space="preserve">power automate advanced tutorial</t>
        </is>
      </c>
    </row>
    <row r="55">
      <c r="A55" s="3">
        <v>54</v>
      </c>
      <c r="B55" t="inlineStr">
        <is>
          <t xml:space="preserve">Playlist</t>
        </is>
      </c>
      <c r="C55" t="inlineStr">
        <is>
          <t xml:space="preserve">English</t>
        </is>
      </c>
      <c r="D55" t="inlineStr">
        <is>
          <t xml:space="preserve">Course</t>
        </is>
      </c>
      <c r="E55" t="inlineStr">
        <is>
          <t xml:space="preserve">Desktop/RPA, Cloud flows, SharePoint, Excel, AI/Copilot, Power Apps</t>
        </is>
      </c>
      <c r="F55" t="inlineStr">
        <is>
          <t xml:space="preserve">Power Platform interview questions</t>
        </is>
      </c>
      <c r="G55" t="inlineStr">
        <is>
          <t xml:space="preserve">Ravindra Jadhav</t>
        </is>
      </c>
      <c r="H55" t="inlineStr">
        <is>
          <t xml:space="preserve"/>
        </is>
      </c>
      <c r="I55" t="inlineStr">
        <is>
          <t xml:space="preserve"/>
        </is>
      </c>
      <c r="J55" t="inlineStr">
        <is>
          <t xml:space="preserve">37 videos</t>
        </is>
      </c>
      <c r="K55" s="2" t="str">
        <f>HYPERLINK("https://www.youtube.com/playlist?list=PLwJ5qMG_kqnIjq7dMAVSkG-DaX58fN-vn","https://www.youtube.com/playlist?list=PLwJ5qMG_kqnIjq7dMAVSkG-DaX58fN-vn")</f>
        <v>https://www.youtube.com/playlist?list=PLwJ5qMG_kqnIjq7dMAVSkG-DaX58fN-vn</v>
      </c>
      <c r="L55" t="inlineStr">
        <is>
          <t xml:space="preserve">Playlist | Dynamics 365 Developer Interview Questions Advance level · 14:01 | D365 Interview Questions 2026 · 14:30 | View full playlist | Interview Preparation Microsoft Power Platform Power Platform Interview Questions Power Platfrom Interview Question with Answers Interview Questions on Power App</t>
        </is>
      </c>
      <c r="M55" t="inlineStr">
        <is>
          <t xml:space="preserve">power automate interview questions</t>
        </is>
      </c>
    </row>
    <row r="56">
      <c r="A56" s="3">
        <v>55</v>
      </c>
      <c r="B56" t="inlineStr">
        <is>
          <t xml:space="preserve">Playlist</t>
        </is>
      </c>
      <c r="C56" t="inlineStr">
        <is>
          <t xml:space="preserve">English</t>
        </is>
      </c>
      <c r="D56" t="inlineStr">
        <is>
          <t xml:space="preserve">Course</t>
        </is>
      </c>
      <c r="E56" t="inlineStr">
        <is>
          <t xml:space="preserve">Desktop/RPA, Web automation</t>
        </is>
      </c>
      <c r="F56" t="inlineStr">
        <is>
          <t xml:space="preserve">Power Automate Interview Question &amp; Answers FAQs Series | EmergenTeck</t>
        </is>
      </c>
      <c r="G56" t="inlineStr">
        <is>
          <t xml:space="preserve">EmergenTeck</t>
        </is>
      </c>
      <c r="H56" t="inlineStr">
        <is>
          <t xml:space="preserve"/>
        </is>
      </c>
      <c r="I56" t="inlineStr">
        <is>
          <t xml:space="preserve"/>
        </is>
      </c>
      <c r="J56" t="inlineStr">
        <is>
          <t xml:space="preserve">9 videos</t>
        </is>
      </c>
      <c r="K56" s="2" t="str">
        <f>HYPERLINK("https://www.youtube.com/playlist?list=PLHtcx5qWT4ToBe1bTsNgMbAlRqbAYio3v","https://www.youtube.com/playlist?list=PLHtcx5qWT4ToBe1bTsNgMbAlRqbAYio3v")</f>
        <v>https://www.youtube.com/playlist?list=PLHtcx5qWT4ToBe1bTsNgMbAlRqbAYio3v</v>
      </c>
      <c r="L56" t="inlineStr">
        <is>
          <t xml:space="preserve">Playlist | Power Automate Tutorials for Beginners: How to Get Started | EmergenTeck · 45:17 | What is Power Automate Power Automate Interview FAQ | EmergenTeck · 0:46 | View full playlist | At EmergenTeck, we believe in the power of knowledge sharing, and that's why we're launching an initiative – t</t>
        </is>
      </c>
      <c r="M56" t="inlineStr">
        <is>
          <t xml:space="preserve">power automate interview questions</t>
        </is>
      </c>
    </row>
    <row r="57">
      <c r="A57" s="3">
        <v>56</v>
      </c>
      <c r="B57" t="inlineStr">
        <is>
          <t xml:space="preserve">Playlist</t>
        </is>
      </c>
      <c r="C57" t="inlineStr">
        <is>
          <t xml:space="preserve">English</t>
        </is>
      </c>
      <c r="D57" t="inlineStr">
        <is>
          <t xml:space="preserve">Course</t>
        </is>
      </c>
      <c r="E57" t="inlineStr">
        <is>
          <t xml:space="preserve"/>
        </is>
      </c>
      <c r="F57" t="inlineStr">
        <is>
          <t xml:space="preserve">Power Automate In Dynamics 365 CE</t>
        </is>
      </c>
      <c r="G57" t="inlineStr">
        <is>
          <t xml:space="preserve">JV UNIVERSE</t>
        </is>
      </c>
      <c r="H57" t="inlineStr">
        <is>
          <t xml:space="preserve"/>
        </is>
      </c>
      <c r="I57" t="inlineStr">
        <is>
          <t xml:space="preserve"/>
        </is>
      </c>
      <c r="J57" t="inlineStr">
        <is>
          <t xml:space="preserve">8 videos</t>
        </is>
      </c>
      <c r="K57" s="2" t="str">
        <f>HYPERLINK("https://www.youtube.com/playlist?list=PL4dp4ysvhmUJBKx8PnugDdW8Iy-6pB8tu","https://www.youtube.com/playlist?list=PL4dp4ysvhmUJBKx8PnugDdW8Iy-6pB8tu")</f>
        <v>https://www.youtube.com/playlist?list=PL4dp4ysvhmUJBKx8PnugDdW8Iy-6pB8tu</v>
      </c>
      <c r="L57" t="inlineStr">
        <is>
          <t xml:space="preserve">Playlist | Introduction to Power Automate &amp; Its Role in Dynamics 365 ft. Jay Patel · 16:49 | Power Automate Flow Types Explained | Dynamics 365 CRM ft. Jay Patel · 42:36 | View full playlist</t>
        </is>
      </c>
      <c r="M57" t="inlineStr">
        <is>
          <t xml:space="preserve">power automate course</t>
        </is>
      </c>
    </row>
    <row r="58">
      <c r="A58" s="3">
        <v>57</v>
      </c>
      <c r="B58" t="inlineStr">
        <is>
          <t xml:space="preserve">Playlist</t>
        </is>
      </c>
      <c r="C58" t="inlineStr">
        <is>
          <t xml:space="preserve">English</t>
        </is>
      </c>
      <c r="D58" t="inlineStr">
        <is>
          <t xml:space="preserve">Course</t>
        </is>
      </c>
      <c r="E58" t="inlineStr">
        <is>
          <t xml:space="preserve"/>
        </is>
      </c>
      <c r="F58" t="inlineStr">
        <is>
          <t xml:space="preserve">Power Automate in a Day Full tutorial - 2026 - By Serge Luca aka "Dr Flow"</t>
        </is>
      </c>
      <c r="G58" t="inlineStr">
        <is>
          <t xml:space="preserve">serge luca aka 'Doctor Flow'</t>
        </is>
      </c>
      <c r="H58" t="inlineStr">
        <is>
          <t xml:space="preserve"/>
        </is>
      </c>
      <c r="I58" t="inlineStr">
        <is>
          <t xml:space="preserve"/>
        </is>
      </c>
      <c r="J58" t="inlineStr">
        <is>
          <t xml:space="preserve">12 videos</t>
        </is>
      </c>
      <c r="K58" s="2" t="str">
        <f>HYPERLINK("https://www.youtube.com/playlist?list=PL6oVinAUc710j7KwOxQUvAXZACagc2k-Y","https://www.youtube.com/playlist?list=PL6oVinAUc710j7KwOxQUvAXZACagc2k-Y")</f>
        <v>https://www.youtube.com/playlist?list=PL6oVinAUc710j7KwOxQUvAXZACagc2k-Y</v>
      </c>
      <c r="L58" t="inlineStr">
        <is>
          <t xml:space="preserve">Playlist | View full playlist</t>
        </is>
      </c>
      <c r="M58" t="inlineStr">
        <is>
          <t xml:space="preserve">power automate course</t>
        </is>
      </c>
    </row>
    <row r="59">
      <c r="A59" s="3">
        <v>58</v>
      </c>
      <c r="B59" t="inlineStr">
        <is>
          <t xml:space="preserve">Playlist</t>
        </is>
      </c>
      <c r="C59" t="inlineStr">
        <is>
          <t xml:space="preserve">English</t>
        </is>
      </c>
      <c r="D59" t="inlineStr">
        <is>
          <t xml:space="preserve">Course</t>
        </is>
      </c>
      <c r="E59" t="inlineStr">
        <is>
          <t xml:space="preserve">AI/Copilot</t>
        </is>
      </c>
      <c r="F59" t="inlineStr">
        <is>
          <t xml:space="preserve">AI in Action: Powering Up with Power Automate Series</t>
        </is>
      </c>
      <c r="G59" t="inlineStr">
        <is>
          <t xml:space="preserve">Microsoft Power Platform</t>
        </is>
      </c>
      <c r="H59" t="inlineStr">
        <is>
          <t xml:space="preserve"/>
        </is>
      </c>
      <c r="I59" t="inlineStr">
        <is>
          <t xml:space="preserve"/>
        </is>
      </c>
      <c r="J59" t="inlineStr">
        <is>
          <t xml:space="preserve">11 videos</t>
        </is>
      </c>
      <c r="K59" s="2" t="str">
        <f>HYPERLINK("https://www.youtube.com/playlist?list=PLi9EhCY4z99VEKqQ3dT5ep_dOiRiRq28X","https://www.youtube.com/playlist?list=PLi9EhCY4z99VEKqQ3dT5ep_dOiRiRq28X")</f>
        <v>https://www.youtube.com/playlist?list=PLi9EhCY4z99VEKqQ3dT5ep_dOiRiRq28X</v>
      </c>
      <c r="L59" t="inlineStr">
        <is>
          <t xml:space="preserve">Playlist | View full playlist</t>
        </is>
      </c>
      <c r="M59" t="inlineStr">
        <is>
          <t xml:space="preserve">power automate course</t>
        </is>
      </c>
    </row>
    <row r="60">
      <c r="A60" s="3">
        <v>59</v>
      </c>
      <c r="B60" t="inlineStr">
        <is>
          <t xml:space="preserve">Playlist</t>
        </is>
      </c>
      <c r="C60" t="inlineStr">
        <is>
          <t xml:space="preserve">English</t>
        </is>
      </c>
      <c r="D60" t="inlineStr">
        <is>
          <t xml:space="preserve">Course</t>
        </is>
      </c>
      <c r="E60" t="inlineStr">
        <is>
          <t xml:space="preserve">Desktop/RPA, Excel, Email/Outlook, AI/Copilot, Web automation</t>
        </is>
      </c>
      <c r="F60" t="inlineStr">
        <is>
          <t xml:space="preserve">How to Use Microsoft Power Automate Desktop</t>
        </is>
      </c>
      <c r="G60" t="inlineStr">
        <is>
          <t xml:space="preserve">Anders Jensen</t>
        </is>
      </c>
      <c r="H60" t="inlineStr">
        <is>
          <t xml:space="preserve"/>
        </is>
      </c>
      <c r="I60" t="inlineStr">
        <is>
          <t xml:space="preserve"/>
        </is>
      </c>
      <c r="J60" t="inlineStr">
        <is>
          <t xml:space="preserve">10 videos</t>
        </is>
      </c>
      <c r="K60" s="2" t="str">
        <f>HYPERLINK("https://www.youtube.com/playlist?list=PLXXz88_TPiHpkqbS8g5GTELId9gRB6ggF","https://www.youtube.com/playlist?list=PLXXz88_TPiHpkqbS8g5GTELId9gRB6ggF")</f>
        <v>https://www.youtube.com/playlist?list=PLXXz88_TPiHpkqbS8g5GTELId9gRB6ggF</v>
      </c>
      <c r="L60" t="inlineStr">
        <is>
          <t xml:space="preserve">Playlist | Updated today | How to Use Variables in Microsoft Power Automate Desktop · 30:26 | How to Use the Recorder in Microsoft Power Automate Desktop · 8:07 | View full playlist | Short Power Automate Desktop how-to tutorials: Variables, the recorder, if and switch, loops, Excel, applications, b</t>
        </is>
      </c>
      <c r="M60" t="inlineStr">
        <is>
          <t xml:space="preserve">power automate tutorial playlist ; power automate desktop</t>
        </is>
      </c>
    </row>
    <row r="61">
      <c r="A61" s="3">
        <v>60</v>
      </c>
      <c r="B61" t="inlineStr">
        <is>
          <t xml:space="preserve">Playlist</t>
        </is>
      </c>
      <c r="C61" t="inlineStr">
        <is>
          <t xml:space="preserve">English</t>
        </is>
      </c>
      <c r="D61" t="inlineStr">
        <is>
          <t xml:space="preserve">Course</t>
        </is>
      </c>
      <c r="E61" t="inlineStr">
        <is>
          <t xml:space="preserve">Desktop/RPA</t>
        </is>
      </c>
      <c r="F61" t="inlineStr">
        <is>
          <t xml:space="preserve">Getting Started with Power Automate Desktop</t>
        </is>
      </c>
      <c r="G61" t="inlineStr">
        <is>
          <t xml:space="preserve">Microsoft Power Platform</t>
        </is>
      </c>
      <c r="H61" t="inlineStr">
        <is>
          <t xml:space="preserve"/>
        </is>
      </c>
      <c r="I61" t="inlineStr">
        <is>
          <t xml:space="preserve"/>
        </is>
      </c>
      <c r="J61" t="inlineStr">
        <is>
          <t xml:space="preserve">11 videos</t>
        </is>
      </c>
      <c r="K61" s="2" t="str">
        <f>HYPERLINK("https://www.youtube.com/playlist?list=PLi9EhCY4z99XC7jwJlMyHU0iYO8dR5cVc","https://www.youtube.com/playlist?list=PLi9EhCY4z99XC7jwJlMyHU0iYO8dR5cVc")</f>
        <v>https://www.youtube.com/playlist?list=PLi9EhCY4z99XC7jwJlMyHU0iYO8dR5cVc</v>
      </c>
      <c r="L61" t="inlineStr">
        <is>
          <t xml:space="preserve">Playlist | Power Automate Desktop Basics · 9:35 | Getting Started with Power Automate Desktop - Part 1 | Creating Your First Flow · 1:09 | View full playlist | Looking to take your first dive into Power Automate Desktop? Look no further! We have all of the info you need, right here!</t>
        </is>
      </c>
      <c r="M61" t="inlineStr">
        <is>
          <t xml:space="preserve">power automate desktop</t>
        </is>
      </c>
    </row>
    <row r="62">
      <c r="A62" s="3">
        <v>61</v>
      </c>
      <c r="B62" t="inlineStr">
        <is>
          <t xml:space="preserve">Playlist</t>
        </is>
      </c>
      <c r="C62" t="inlineStr">
        <is>
          <t xml:space="preserve">English</t>
        </is>
      </c>
      <c r="D62" t="inlineStr">
        <is>
          <t xml:space="preserve">Course</t>
        </is>
      </c>
      <c r="E62" t="inlineStr">
        <is>
          <t xml:space="preserve">Desktop/RPA</t>
        </is>
      </c>
      <c r="F62" t="inlineStr">
        <is>
          <t xml:space="preserve">SAP Automation with Power Automate Desktop</t>
        </is>
      </c>
      <c r="G62" t="inlineStr">
        <is>
          <t xml:space="preserve">Marcelo Cruz</t>
        </is>
      </c>
      <c r="H62" t="inlineStr">
        <is>
          <t xml:space="preserve"/>
        </is>
      </c>
      <c r="I62" t="inlineStr">
        <is>
          <t xml:space="preserve"/>
        </is>
      </c>
      <c r="J62" t="inlineStr">
        <is>
          <t xml:space="preserve">10 videos</t>
        </is>
      </c>
      <c r="K62" s="2" t="str">
        <f>HYPERLINK("https://www.youtube.com/playlist?list=PLH9xqHLsd2zsHS43U52qnIaMyLFMtgBbm","https://www.youtube.com/playlist?list=PLH9xqHLsd2zsHS43U52qnIaMyLFMtgBbm")</f>
        <v>https://www.youtube.com/playlist?list=PLH9xqHLsd2zsHS43U52qnIaMyLFMtgBbm</v>
      </c>
      <c r="L62" t="inlineStr">
        <is>
          <t xml:space="preserve">Playlist | How To Login Into SAP on Power Automate Desktop - RPA Tutorial · 9:23 | How To Automate SAP login with Power Automate Desktop · 6:09 | View full playlist</t>
        </is>
      </c>
      <c r="M62" t="inlineStr">
        <is>
          <t xml:space="preserve">power automate desktop</t>
        </is>
      </c>
    </row>
    <row r="63">
      <c r="A63" s="3">
        <v>62</v>
      </c>
      <c r="B63" t="inlineStr">
        <is>
          <t xml:space="preserve">Playlist</t>
        </is>
      </c>
      <c r="C63" t="inlineStr">
        <is>
          <t xml:space="preserve">English</t>
        </is>
      </c>
      <c r="D63" t="inlineStr">
        <is>
          <t xml:space="preserve">Course</t>
        </is>
      </c>
      <c r="E63" t="inlineStr">
        <is>
          <t xml:space="preserve">Desktop/RPA, Excel, Web automation</t>
        </is>
      </c>
      <c r="F63" t="inlineStr">
        <is>
          <t xml:space="preserve">Power Automate Desktop for Beginners | From Zero to Hero</t>
        </is>
      </c>
      <c r="G63" t="inlineStr">
        <is>
          <t xml:space="preserve">Thomas Janssen</t>
        </is>
      </c>
      <c r="H63" t="inlineStr">
        <is>
          <t xml:space="preserve"/>
        </is>
      </c>
      <c r="I63" t="inlineStr">
        <is>
          <t xml:space="preserve"/>
        </is>
      </c>
      <c r="J63" t="inlineStr">
        <is>
          <t xml:space="preserve">8 videos</t>
        </is>
      </c>
      <c r="K63" s="2" t="str">
        <f>HYPERLINK("https://www.youtube.com/playlist?list=PLgSxNxbk3DbNaKgT4DcXzoABhVvg1JD8y","https://www.youtube.com/playlist?list=PLgSxNxbk3DbNaKgT4DcXzoABhVvg1JD8y")</f>
        <v>https://www.youtube.com/playlist?list=PLgSxNxbk3DbNaKgT4DcXzoABhVvg1JD8y</v>
      </c>
      <c r="L63" t="inlineStr">
        <is>
          <t xml:space="preserve">Playlist | Automate any Web Application with Power Automate Desktop! · 16:36 | Power Automate Desktop Excel Tutorial | Excel Tips &amp; Tricks · 11:47 | View full playlist | Do you want to learn Power Automate Desktop, one of the fastest growing RPA tools which is available for free? In this tutorial yo</t>
        </is>
      </c>
      <c r="M63" t="inlineStr">
        <is>
          <t xml:space="preserve">power automate desktop</t>
        </is>
      </c>
    </row>
    <row r="64">
      <c r="A64" s="3">
        <v>63</v>
      </c>
      <c r="B64" t="inlineStr">
        <is>
          <t xml:space="preserve">Playlist</t>
        </is>
      </c>
      <c r="C64" t="inlineStr">
        <is>
          <t xml:space="preserve">English</t>
        </is>
      </c>
      <c r="D64" t="inlineStr">
        <is>
          <t xml:space="preserve">Course</t>
        </is>
      </c>
      <c r="E64" t="inlineStr">
        <is>
          <t xml:space="preserve">Desktop/RPA</t>
        </is>
      </c>
      <c r="F64" t="inlineStr">
        <is>
          <t xml:space="preserve">Automate It Special Series:  Managing Power Automate for Desktop</t>
        </is>
      </c>
      <c r="G64" t="inlineStr">
        <is>
          <t xml:space="preserve">Microsoft Power Platform</t>
        </is>
      </c>
      <c r="H64" t="inlineStr">
        <is>
          <t xml:space="preserve"/>
        </is>
      </c>
      <c r="I64" t="inlineStr">
        <is>
          <t xml:space="preserve"/>
        </is>
      </c>
      <c r="J64" t="inlineStr">
        <is>
          <t xml:space="preserve">8 videos</t>
        </is>
      </c>
      <c r="K64" s="2" t="str">
        <f>HYPERLINK("https://www.youtube.com/playlist?list=PLi9EhCY4z99XhBAdxiQL2QyOzhVgHxtAP","https://www.youtube.com/playlist?list=PLi9EhCY4z99XhBAdxiQL2QyOzhVgHxtAP")</f>
        <v>https://www.youtube.com/playlist?list=PLi9EhCY4z99XhBAdxiQL2QyOzhVgHxtAP</v>
      </c>
      <c r="L64" t="inlineStr">
        <is>
          <t xml:space="preserve">Playlist | Managing Power Automate for Desktop (PAD) on Windows - Part 1 of 8 · 7:58 | Creating an Intune Package for Microsoft Power Automate for Desktop - Part 2 of 8 · 14:25 | View full playlist | Welcome to a special series around managing Power Automate for desktop on Windows at scale throughou</t>
        </is>
      </c>
      <c r="M64" t="inlineStr">
        <is>
          <t xml:space="preserve">power automate desktop</t>
        </is>
      </c>
    </row>
    <row r="65">
      <c r="A65" s="3">
        <v>64</v>
      </c>
      <c r="B65" t="inlineStr">
        <is>
          <t xml:space="preserve">Playlist</t>
        </is>
      </c>
      <c r="C65" t="inlineStr">
        <is>
          <t xml:space="preserve">English</t>
        </is>
      </c>
      <c r="D65" t="inlineStr">
        <is>
          <t xml:space="preserve">Course</t>
        </is>
      </c>
      <c r="E65" t="inlineStr">
        <is>
          <t xml:space="preserve">SharePoint, PDF</t>
        </is>
      </c>
      <c r="F65" t="inlineStr">
        <is>
          <t xml:space="preserve">Power Automate Flow Ideas</t>
        </is>
      </c>
      <c r="G65" t="inlineStr">
        <is>
          <t xml:space="preserve">A Creative Opinion</t>
        </is>
      </c>
      <c r="H65" t="inlineStr">
        <is>
          <t xml:space="preserve"/>
        </is>
      </c>
      <c r="I65" t="inlineStr">
        <is>
          <t xml:space="preserve"/>
        </is>
      </c>
      <c r="J65" t="inlineStr">
        <is>
          <t xml:space="preserve">26 videos</t>
        </is>
      </c>
      <c r="K65" s="2" t="str">
        <f>HYPERLINK("https://www.youtube.com/playlist?list=PLphkuAZNVjJCT2tMHTDcb0Yz_uT8vCeNI","https://www.youtube.com/playlist?list=PLphkuAZNVjJCT2tMHTDcb0Yz_uT8vCeNI")</f>
        <v>https://www.youtube.com/playlist?list=PLphkuAZNVjJCT2tMHTDcb0Yz_uT8vCeNI</v>
      </c>
      <c r="L65" t="inlineStr">
        <is>
          <t xml:space="preserve">Playlist | How Convert a WORD Doc to PDF by Dragging and Dropping · 0:24 | Grant ITEM LEVEL Permissions on a SharePoint List ITEM with Power Automate · 7:46 | View full playlist</t>
        </is>
      </c>
      <c r="M65" t="inlineStr">
        <is>
          <t xml:space="preserve">power automate project</t>
        </is>
      </c>
    </row>
    <row r="66">
      <c r="A66" s="3">
        <v>65</v>
      </c>
      <c r="B66" t="inlineStr">
        <is>
          <t xml:space="preserve">Playlist</t>
        </is>
      </c>
      <c r="C66" t="inlineStr">
        <is>
          <t xml:space="preserve">English</t>
        </is>
      </c>
      <c r="D66" t="inlineStr">
        <is>
          <t xml:space="preserve">Course</t>
        </is>
      </c>
      <c r="E66" t="inlineStr">
        <is>
          <t xml:space="preserve">Email/Outlook</t>
        </is>
      </c>
      <c r="F66" t="inlineStr">
        <is>
          <t xml:space="preserve">Power Automate</t>
        </is>
      </c>
      <c r="G66" t="inlineStr">
        <is>
          <t xml:space="preserve">Onetidbit</t>
        </is>
      </c>
      <c r="H66" t="inlineStr">
        <is>
          <t xml:space="preserve"/>
        </is>
      </c>
      <c r="I66" t="inlineStr">
        <is>
          <t xml:space="preserve"/>
        </is>
      </c>
      <c r="J66" t="inlineStr">
        <is>
          <t xml:space="preserve">38 videos</t>
        </is>
      </c>
      <c r="K66" s="2" t="str">
        <f>HYPERLINK("https://www.youtube.com/playlist?list=PL7RVk6Wdfyajgyuhzn2inKcapaegffPSI","https://www.youtube.com/playlist?list=PL7RVk6Wdfyajgyuhzn2inKcapaegffPSI")</f>
        <v>https://www.youtube.com/playlist?list=PL7RVk6Wdfyajgyuhzn2inKcapaegffPSI</v>
      </c>
      <c r="L66" t="inlineStr">
        <is>
          <t xml:space="preserve">Playlist | Automate Employees Birthday or Anniversary Emails using Power Automate (MS Flow) · 18:52 | Embed image in Power Automate (MS Flow) Email · 5:11 | View full playlist</t>
        </is>
      </c>
      <c r="M66" t="inlineStr">
        <is>
          <t xml:space="preserve">power automate tutorial bangla</t>
        </is>
      </c>
    </row>
    <row r="67">
      <c r="A67" s="3">
        <v>66</v>
      </c>
      <c r="B67" t="inlineStr">
        <is>
          <t xml:space="preserve">Video</t>
        </is>
      </c>
      <c r="C67" t="inlineStr">
        <is>
          <t xml:space="preserve">English</t>
        </is>
      </c>
      <c r="D67" t="inlineStr">
        <is>
          <t xml:space="preserve">Project / Use case</t>
        </is>
      </c>
      <c r="E67" t="inlineStr">
        <is>
          <t xml:space="preserve">SharePoint, Approvals</t>
        </is>
      </c>
      <c r="F67" t="inlineStr">
        <is>
          <t xml:space="preserve">How to build Power Automate Approval Workflows for SharePoint | Step by Step Tutorial</t>
        </is>
      </c>
      <c r="G67" t="inlineStr">
        <is>
          <t xml:space="preserve">Reza Dorrani</t>
        </is>
      </c>
      <c r="H67" s="3">
        <v>405869</v>
      </c>
      <c r="I67" t="inlineStr">
        <is>
          <t xml:space="preserve">3y ago</t>
        </is>
      </c>
      <c r="J67" t="inlineStr">
        <is>
          <t xml:space="preserve">21:58</t>
        </is>
      </c>
      <c r="K67" s="2" t="str">
        <f>HYPERLINK("https://www.youtube.com/watch?v=tiLyIL6Q2Wk","https://www.youtube.com/watch?v=tiLyIL6Q2Wk")</f>
        <v>https://www.youtube.com/watch?v=tiLyIL6Q2Wk</v>
      </c>
      <c r="L67" t="inlineStr">
        <is>
          <t xml:space="preserve">Step by Step Power Automate Approval tutorial video that covers how to build Approval flows for SharePoint lists, dynamically ...</t>
        </is>
      </c>
      <c r="M67" t="inlineStr">
        <is>
          <t xml:space="preserve">power automate approval workflow ; power automate sharepoint automation</t>
        </is>
      </c>
    </row>
    <row r="68">
      <c r="A68" s="3">
        <v>67</v>
      </c>
      <c r="B68" t="inlineStr">
        <is>
          <t xml:space="preserve">Video</t>
        </is>
      </c>
      <c r="C68" t="inlineStr">
        <is>
          <t xml:space="preserve">English</t>
        </is>
      </c>
      <c r="D68" t="inlineStr">
        <is>
          <t xml:space="preserve">Project / Use case</t>
        </is>
      </c>
      <c r="E68" t="inlineStr">
        <is>
          <t xml:space="preserve">Approvals</t>
        </is>
      </c>
      <c r="F68" t="inlineStr">
        <is>
          <t xml:space="preserve">Power Automate Multi Level Approval Workflow | Serial Approval | Multiple Approvers</t>
        </is>
      </c>
      <c r="G68" t="inlineStr">
        <is>
          <t xml:space="preserve">Reza Dorrani</t>
        </is>
      </c>
      <c r="H68" s="3">
        <v>372022</v>
      </c>
      <c r="I68" t="inlineStr">
        <is>
          <t xml:space="preserve">5y ago</t>
        </is>
      </c>
      <c r="J68" t="inlineStr">
        <is>
          <t xml:space="preserve">17:49</t>
        </is>
      </c>
      <c r="K68" s="2" t="str">
        <f>HYPERLINK("https://www.youtube.com/watch?v=gb_FUeRjgg4","https://www.youtube.com/watch?v=gb_FUeRjgg4")</f>
        <v>https://www.youtube.com/watch?v=gb_FUeRjgg4</v>
      </c>
      <c r="L68" t="inlineStr">
        <is>
          <t xml:space="preserve">In this tutorial video, I will show how to build Multi-Step Approvals in Power Automate. We will build a multi-level / serial approval ...</t>
        </is>
      </c>
      <c r="M68" t="inlineStr">
        <is>
          <t xml:space="preserve">power automate approval workflow</t>
        </is>
      </c>
    </row>
    <row r="69">
      <c r="A69" s="3">
        <v>68</v>
      </c>
      <c r="B69" t="inlineStr">
        <is>
          <t xml:space="preserve">Video</t>
        </is>
      </c>
      <c r="C69" t="inlineStr">
        <is>
          <t xml:space="preserve">English</t>
        </is>
      </c>
      <c r="D69" t="inlineStr">
        <is>
          <t xml:space="preserve">Project / Use case</t>
        </is>
      </c>
      <c r="E69" t="inlineStr">
        <is>
          <t xml:space="preserve">Power Apps, Dataverse</t>
        </is>
      </c>
      <c r="F69" t="inlineStr">
        <is>
          <t xml:space="preserve">Complete Project with Power BI, Power Apps, Power Automate and Dataverse</t>
        </is>
      </c>
      <c r="G69" t="inlineStr">
        <is>
          <t xml:space="preserve">How to Power BI</t>
        </is>
      </c>
      <c r="H69" s="3">
        <v>198777</v>
      </c>
      <c r="I69" t="inlineStr">
        <is>
          <t xml:space="preserve">2y ago</t>
        </is>
      </c>
      <c r="J69" t="inlineStr">
        <is>
          <t xml:space="preserve">1:12:45</t>
        </is>
      </c>
      <c r="K69" s="2" t="str">
        <f>HYPERLINK("https://www.youtube.com/watch?v=5Ohp79PLlM8","https://www.youtube.com/watch?v=5Ohp79PLlM8")</f>
        <v>https://www.youtube.com/watch?v=5Ohp79PLlM8</v>
      </c>
      <c r="L69" t="inlineStr">
        <is>
          <t xml:space="preserve">Join my Power BI Design training here: https://my.datatraining.io/pages/powerbidesigntransformation Learn how to work with ...</t>
        </is>
      </c>
      <c r="M69" t="inlineStr">
        <is>
          <t xml:space="preserve">power automate project ; power apps power automate project</t>
        </is>
      </c>
    </row>
    <row r="70">
      <c r="A70" s="3">
        <v>69</v>
      </c>
      <c r="B70" t="inlineStr">
        <is>
          <t xml:space="preserve">Video</t>
        </is>
      </c>
      <c r="C70" t="inlineStr">
        <is>
          <t xml:space="preserve">English</t>
        </is>
      </c>
      <c r="D70" t="inlineStr">
        <is>
          <t xml:space="preserve">Project / Use case</t>
        </is>
      </c>
      <c r="E70" t="inlineStr">
        <is>
          <t xml:space="preserve">SharePoint, Approvals</t>
        </is>
      </c>
      <c r="F70" t="inlineStr">
        <is>
          <t xml:space="preserve">Power Automate Document Approval workflow for SharePoint</t>
        </is>
      </c>
      <c r="G70" t="inlineStr">
        <is>
          <t xml:space="preserve">Reza Dorrani</t>
        </is>
      </c>
      <c r="H70" s="3">
        <v>195242</v>
      </c>
      <c r="I70" t="inlineStr">
        <is>
          <t xml:space="preserve">5y ago</t>
        </is>
      </c>
      <c r="J70" t="inlineStr">
        <is>
          <t xml:space="preserve">27:46</t>
        </is>
      </c>
      <c r="K70" s="2" t="str">
        <f>HYPERLINK("https://www.youtube.com/watch?v=NZeJB4dGCq0","https://www.youtube.com/watch?v=NZeJB4dGCq0")</f>
        <v>https://www.youtube.com/watch?v=NZeJB4dGCq0</v>
      </c>
      <c r="L70" t="inlineStr">
        <is>
          <t xml:space="preserve">In this video, you will learn how to build a content approval process workflow for SharePoint document library with Power ...</t>
        </is>
      </c>
      <c r="M70" t="inlineStr">
        <is>
          <t xml:space="preserve">power automate sharepoint automation</t>
        </is>
      </c>
    </row>
    <row r="71">
      <c r="A71" s="3">
        <v>70</v>
      </c>
      <c r="B71" t="inlineStr">
        <is>
          <t xml:space="preserve">Video</t>
        </is>
      </c>
      <c r="C71" t="inlineStr">
        <is>
          <t xml:space="preserve">English</t>
        </is>
      </c>
      <c r="D71" t="inlineStr">
        <is>
          <t xml:space="preserve">Project / Use case</t>
        </is>
      </c>
      <c r="E71" t="inlineStr">
        <is>
          <t xml:space="preserve">AI/Copilot</t>
        </is>
      </c>
      <c r="F71" t="inlineStr">
        <is>
          <t xml:space="preserve">Power Automate Copilot - Build a flow by describing it</t>
        </is>
      </c>
      <c r="G71" t="inlineStr">
        <is>
          <t xml:space="preserve">Microsoft Power Platform</t>
        </is>
      </c>
      <c r="H71" s="3">
        <v>143058</v>
      </c>
      <c r="I71" t="inlineStr">
        <is>
          <t xml:space="preserve">3y ago</t>
        </is>
      </c>
      <c r="J71" t="inlineStr">
        <is>
          <t xml:space="preserve">0:52</t>
        </is>
      </c>
      <c r="K71" s="2" t="str">
        <f>HYPERLINK("https://www.youtube.com/watch?v=Qvv2X3DGIDM","https://www.youtube.com/watch?v=Qvv2X3DGIDM")</f>
        <v>https://www.youtube.com/watch?v=Qvv2X3DGIDM</v>
      </c>
      <c r="L71" t="inlineStr">
        <is>
          <t xml:space="preserve">Copilots are everywhere, including Power Automate. Now we can build a flow simply by using natural language to tell it what we ...</t>
        </is>
      </c>
      <c r="M71" t="inlineStr">
        <is>
          <t xml:space="preserve">power automate cloud flow tutorial</t>
        </is>
      </c>
    </row>
    <row r="72">
      <c r="A72" s="3">
        <v>71</v>
      </c>
      <c r="B72" t="inlineStr">
        <is>
          <t xml:space="preserve">Video</t>
        </is>
      </c>
      <c r="C72" t="inlineStr">
        <is>
          <t xml:space="preserve">English</t>
        </is>
      </c>
      <c r="D72" t="inlineStr">
        <is>
          <t xml:space="preserve">Project / Use case</t>
        </is>
      </c>
      <c r="E72" t="inlineStr">
        <is>
          <t xml:space="preserve">Desktop/RPA, Web automation</t>
        </is>
      </c>
      <c r="F72" t="inlineStr">
        <is>
          <t xml:space="preserve">Get Started with Power Automate Desktop: Tutorial for Beginners (2026)</t>
        </is>
      </c>
      <c r="G72" t="inlineStr">
        <is>
          <t xml:space="preserve">Anders Jensen</t>
        </is>
      </c>
      <c r="H72" s="3">
        <v>109008</v>
      </c>
      <c r="I72" t="inlineStr">
        <is>
          <t xml:space="preserve">1y ago</t>
        </is>
      </c>
      <c r="J72" t="inlineStr">
        <is>
          <t xml:space="preserve">1:04:19</t>
        </is>
      </c>
      <c r="K72" s="2" t="str">
        <f>HYPERLINK("https://www.youtube.com/watch?v=fZiNq7OQQ6s","https://www.youtube.com/watch?v=fZiNq7OQQ6s")</f>
        <v>https://www.youtube.com/watch?v=fZiNq7OQQ6s</v>
      </c>
      <c r="L72" t="inlineStr">
        <is>
          <t xml:space="preserve">Get started with Power Automate Desktop in this beginner tutorial: Build a complete RPA flow that logs in to a website, searches ...</t>
        </is>
      </c>
      <c r="M72" t="inlineStr">
        <is>
          <t xml:space="preserve">power automate tutorial for beginners ; power automate desktop full course ; power automate desktop project</t>
        </is>
      </c>
    </row>
    <row r="73">
      <c r="A73" s="3">
        <v>72</v>
      </c>
      <c r="B73" t="inlineStr">
        <is>
          <t xml:space="preserve">Video</t>
        </is>
      </c>
      <c r="C73" t="inlineStr">
        <is>
          <t xml:space="preserve">English</t>
        </is>
      </c>
      <c r="D73" t="inlineStr">
        <is>
          <t xml:space="preserve">Project / Use case</t>
        </is>
      </c>
      <c r="E73" t="inlineStr">
        <is>
          <t xml:space="preserve">Power Apps</t>
        </is>
      </c>
      <c r="F73" t="inlineStr">
        <is>
          <t xml:space="preserve">Connecting Power Apps to Power Automate - How it Works and What to Expect</t>
        </is>
      </c>
      <c r="G73" t="inlineStr">
        <is>
          <t xml:space="preserve">Bulb Digital</t>
        </is>
      </c>
      <c r="H73" s="3">
        <v>75306</v>
      </c>
      <c r="I73" t="inlineStr">
        <is>
          <t xml:space="preserve">4y ago</t>
        </is>
      </c>
      <c r="J73" t="inlineStr">
        <is>
          <t xml:space="preserve">19:34</t>
        </is>
      </c>
      <c r="K73" s="2" t="str">
        <f>HYPERLINK("https://www.youtube.com/watch?v=-hDO9s1zCb0","https://www.youtube.com/watch?v=-hDO9s1zCb0")</f>
        <v>https://www.youtube.com/watch?v=-hDO9s1zCb0</v>
      </c>
      <c r="L73" t="inlineStr">
        <is>
          <t xml:space="preserve">If you're looking to enhance the functionality of your Power App, consider using Power Automate to create flows. Full Blog Writeup: ...</t>
        </is>
      </c>
      <c r="M73" t="inlineStr">
        <is>
          <t xml:space="preserve">power apps power automate project</t>
        </is>
      </c>
    </row>
    <row r="74">
      <c r="A74" s="3">
        <v>73</v>
      </c>
      <c r="B74" t="inlineStr">
        <is>
          <t xml:space="preserve">Video</t>
        </is>
      </c>
      <c r="C74" t="inlineStr">
        <is>
          <t xml:space="preserve">English</t>
        </is>
      </c>
      <c r="D74" t="inlineStr">
        <is>
          <t xml:space="preserve">Project / Use case</t>
        </is>
      </c>
      <c r="E74" t="inlineStr">
        <is>
          <t xml:space="preserve">SharePoint, Power Apps</t>
        </is>
      </c>
      <c r="F74" t="inlineStr">
        <is>
          <t xml:space="preserve">Build Inventory Management System in PowerApps with SharePoint List | Power Platform Project</t>
        </is>
      </c>
      <c r="G74" t="inlineStr">
        <is>
          <t xml:space="preserve">KnowHow Academy</t>
        </is>
      </c>
      <c r="H74" s="3">
        <v>57268</v>
      </c>
      <c r="I74" t="inlineStr">
        <is>
          <t xml:space="preserve">1y ago</t>
        </is>
      </c>
      <c r="J74" t="inlineStr">
        <is>
          <t xml:space="preserve">23:17</t>
        </is>
      </c>
      <c r="K74" s="2" t="str">
        <f>HYPERLINK("https://www.youtube.com/watch?v=ZYmV4flkc1Y","https://www.youtube.com/watch?v=ZYmV4flkc1Y")</f>
        <v>https://www.youtube.com/watch?v=ZYmV4flkc1Y</v>
      </c>
      <c r="L74" t="inlineStr">
        <is>
          <t xml:space="preserve">In this Power Platform Video , you will learn, how to streamline your inventory management process by creating an Inventory ...</t>
        </is>
      </c>
      <c r="M74" t="inlineStr">
        <is>
          <t xml:space="preserve">power apps power automate project</t>
        </is>
      </c>
    </row>
    <row r="75">
      <c r="A75" s="3">
        <v>74</v>
      </c>
      <c r="B75" t="inlineStr">
        <is>
          <t xml:space="preserve">Video</t>
        </is>
      </c>
      <c r="C75" t="inlineStr">
        <is>
          <t xml:space="preserve">English</t>
        </is>
      </c>
      <c r="D75" t="inlineStr">
        <is>
          <t xml:space="preserve">Project / Use case</t>
        </is>
      </c>
      <c r="E75" t="inlineStr">
        <is>
          <t xml:space="preserve">Desktop/RPA</t>
        </is>
      </c>
      <c r="F75" t="inlineStr">
        <is>
          <t xml:space="preserve">Microsoft Power Automate Desktop For Beginners</t>
        </is>
      </c>
      <c r="G75" t="inlineStr">
        <is>
          <t xml:space="preserve">Anders Jensen</t>
        </is>
      </c>
      <c r="H75" s="3">
        <v>56807</v>
      </c>
      <c r="I75" t="inlineStr">
        <is>
          <t xml:space="preserve">4y ago</t>
        </is>
      </c>
      <c r="J75" t="inlineStr">
        <is>
          <t xml:space="preserve">4:30:09</t>
        </is>
      </c>
      <c r="K75" s="2" t="str">
        <f>HYPERLINK("https://www.youtube.com/watch?v=HUq6ZQhOpbk","https://www.youtube.com/watch?v=HUq6ZQhOpbk")</f>
        <v>https://www.youtube.com/watch?v=HUq6ZQhOpbk</v>
      </c>
      <c r="L75" t="inlineStr">
        <is>
          <t xml:space="preserve">This complete Microsoft Power Automate Desktop course for Beginners teaches you how to build RPA with easy use cases.</t>
        </is>
      </c>
      <c r="M75" t="inlineStr">
        <is>
          <t xml:space="preserve">power automate desktop full course</t>
        </is>
      </c>
    </row>
    <row r="76">
      <c r="A76" s="3">
        <v>75</v>
      </c>
      <c r="B76" t="inlineStr">
        <is>
          <t xml:space="preserve">Video</t>
        </is>
      </c>
      <c r="C76" t="inlineStr">
        <is>
          <t xml:space="preserve">English</t>
        </is>
      </c>
      <c r="D76" t="inlineStr">
        <is>
          <t xml:space="preserve">Project / Use case</t>
        </is>
      </c>
      <c r="E76" t="inlineStr">
        <is>
          <t xml:space="preserve">Desktop/RPA, Excel</t>
        </is>
      </c>
      <c r="F76" t="inlineStr">
        <is>
          <t xml:space="preserve">Excel in Power Automate for Desktop (Full Tutorial)</t>
        </is>
      </c>
      <c r="G76" t="inlineStr">
        <is>
          <t xml:space="preserve">Anders Jensen</t>
        </is>
      </c>
      <c r="H76" s="3">
        <v>43397</v>
      </c>
      <c r="I76" t="inlineStr">
        <is>
          <t xml:space="preserve">4y ago</t>
        </is>
      </c>
      <c r="J76" t="inlineStr">
        <is>
          <t xml:space="preserve">28:39</t>
        </is>
      </c>
      <c r="K76" s="2" t="str">
        <f>HYPERLINK("https://www.youtube.com/watch?v=zVvaRCZqZ7E","https://www.youtube.com/watch?v=zVvaRCZqZ7E")</f>
        <v>https://www.youtube.com/watch?v=zVvaRCZqZ7E</v>
      </c>
      <c r="L76" t="inlineStr">
        <is>
          <t xml:space="preserve">This video tutorial shows how to automate Excel with Microsoft Power Automate for desktop. With this full use case, you'll learn all ...</t>
        </is>
      </c>
      <c r="M76" t="inlineStr">
        <is>
          <t xml:space="preserve">power automate excel automation ; power automate desktop</t>
        </is>
      </c>
    </row>
    <row r="77">
      <c r="A77" s="3">
        <v>76</v>
      </c>
      <c r="B77" t="inlineStr">
        <is>
          <t xml:space="preserve">Video</t>
        </is>
      </c>
      <c r="C77" t="inlineStr">
        <is>
          <t xml:space="preserve">English</t>
        </is>
      </c>
      <c r="D77" t="inlineStr">
        <is>
          <t xml:space="preserve">Project / Use case</t>
        </is>
      </c>
      <c r="E77" t="inlineStr">
        <is>
          <t xml:space="preserve">Desktop/RPA, Web automation</t>
        </is>
      </c>
      <c r="F77" t="inlineStr">
        <is>
          <t xml:space="preserve">Power Automate Desktop : Working with (Entire) Web Form Filling Actions - Demo Project (Detailed)</t>
        </is>
      </c>
      <c r="G77" t="inlineStr">
        <is>
          <t xml:space="preserve">Learn RPA &amp; AI Technologies every day</t>
        </is>
      </c>
      <c r="H77" s="3">
        <v>37751</v>
      </c>
      <c r="I77" t="inlineStr">
        <is>
          <t xml:space="preserve">5y ago</t>
        </is>
      </c>
      <c r="J77" t="inlineStr">
        <is>
          <t xml:space="preserve">19:07</t>
        </is>
      </c>
      <c r="K77" s="2" t="str">
        <f>HYPERLINK("https://www.youtube.com/watch?v=6K1qQLp9VH8","https://www.youtube.com/watch?v=6K1qQLp9VH8")</f>
        <v>https://www.youtube.com/watch?v=6K1qQLp9VH8</v>
      </c>
      <c r="L77" t="inlineStr">
        <is>
          <t xml:space="preserve">powerAutomatedesktop #powerAutomate #RPA #Web Automation : How to work with Web Form Filling Actions - Demo project ...</t>
        </is>
      </c>
      <c r="M77" t="inlineStr">
        <is>
          <t xml:space="preserve">power automate desktop project</t>
        </is>
      </c>
    </row>
    <row r="78">
      <c r="A78" s="3">
        <v>77</v>
      </c>
      <c r="B78" t="inlineStr">
        <is>
          <t xml:space="preserve">Video</t>
        </is>
      </c>
      <c r="C78" t="inlineStr">
        <is>
          <t xml:space="preserve">English</t>
        </is>
      </c>
      <c r="D78" t="inlineStr">
        <is>
          <t xml:space="preserve">Project / Use case</t>
        </is>
      </c>
      <c r="E78" t="inlineStr">
        <is>
          <t xml:space="preserve">Desktop/RPA</t>
        </is>
      </c>
      <c r="F78" t="inlineStr">
        <is>
          <t xml:space="preserve">Power Automate Desktop || Project #1 : HR Usecase  - Employee Onboarding Process - Part 1</t>
        </is>
      </c>
      <c r="G78" t="inlineStr">
        <is>
          <t xml:space="preserve">Learn RPA &amp; AI Technologies every day</t>
        </is>
      </c>
      <c r="H78" s="3">
        <v>37403</v>
      </c>
      <c r="I78" t="inlineStr">
        <is>
          <t xml:space="preserve">4y ago</t>
        </is>
      </c>
      <c r="J78" t="inlineStr">
        <is>
          <t xml:space="preserve">12:37</t>
        </is>
      </c>
      <c r="K78" s="2" t="str">
        <f>HYPERLINK("https://www.youtube.com/watch?v=Fw-_cSNcuqw","https://www.youtube.com/watch?v=Fw-_cSNcuqw")</f>
        <v>https://www.youtube.com/watch?v=Fw-_cSNcuqw</v>
      </c>
      <c r="L78" t="inlineStr">
        <is>
          <t xml:space="preserve">MicrosoftPowerAutomate #MicrosoftPowerAutomateDesktop #powerAutomatedesktop #powerAutomate #RPA #Microsoft ...</t>
        </is>
      </c>
      <c r="M78" t="inlineStr">
        <is>
          <t xml:space="preserve">power automate desktop project</t>
        </is>
      </c>
    </row>
    <row r="79">
      <c r="A79" s="3">
        <v>78</v>
      </c>
      <c r="B79" t="inlineStr">
        <is>
          <t xml:space="preserve">Video</t>
        </is>
      </c>
      <c r="C79" t="inlineStr">
        <is>
          <t xml:space="preserve">English</t>
        </is>
      </c>
      <c r="D79" t="inlineStr">
        <is>
          <t xml:space="preserve">Project / Use case</t>
        </is>
      </c>
      <c r="E79" t="inlineStr">
        <is>
          <t xml:space="preserve">Approvals</t>
        </is>
      </c>
      <c r="F79" t="inlineStr">
        <is>
          <t xml:space="preserve">How to Build Power Automate Approval Workflow for Beginners</t>
        </is>
      </c>
      <c r="G79" t="inlineStr">
        <is>
          <t xml:space="preserve">Heather Majors</t>
        </is>
      </c>
      <c r="H79" s="3">
        <v>33672</v>
      </c>
      <c r="I79" t="inlineStr">
        <is>
          <t xml:space="preserve">4y ago</t>
        </is>
      </c>
      <c r="J79" t="inlineStr">
        <is>
          <t xml:space="preserve">8:51</t>
        </is>
      </c>
      <c r="K79" s="2" t="str">
        <f>HYPERLINK("https://www.youtube.com/watch?v=8-kl3DnPDBs","https://www.youtube.com/watch?v=8-kl3DnPDBs")</f>
        <v>https://www.youtube.com/watch?v=8-kl3DnPDBs</v>
      </c>
      <c r="L79" t="inlineStr">
        <is>
          <t xml:space="preserve">Microsoft has made some updates to Power Automate since this video was originally created. To see an updated case study go ...</t>
        </is>
      </c>
      <c r="M79" t="inlineStr">
        <is>
          <t xml:space="preserve">power automate approval workflow</t>
        </is>
      </c>
    </row>
    <row r="80">
      <c r="A80" s="3">
        <v>79</v>
      </c>
      <c r="B80" t="inlineStr">
        <is>
          <t xml:space="preserve">Video</t>
        </is>
      </c>
      <c r="C80" t="inlineStr">
        <is>
          <t xml:space="preserve">English</t>
        </is>
      </c>
      <c r="D80" t="inlineStr">
        <is>
          <t xml:space="preserve">Project / Use case</t>
        </is>
      </c>
      <c r="E80" t="inlineStr">
        <is>
          <t xml:space="preserve">SharePoint</t>
        </is>
      </c>
      <c r="F80" t="inlineStr">
        <is>
          <t xml:space="preserve">Power Automate: The Best SharePoint Workflows</t>
        </is>
      </c>
      <c r="G80" t="inlineStr">
        <is>
          <t xml:space="preserve">SharePoint Dougie</t>
        </is>
      </c>
      <c r="H80" s="3">
        <v>31179</v>
      </c>
      <c r="I80" t="inlineStr">
        <is>
          <t xml:space="preserve">2y ago</t>
        </is>
      </c>
      <c r="J80" t="inlineStr">
        <is>
          <t xml:space="preserve">12:26</t>
        </is>
      </c>
      <c r="K80" s="2" t="str">
        <f>HYPERLINK("https://www.youtube.com/watch?v=DyvsYJVH56U","https://www.youtube.com/watch?v=DyvsYJVH56U")</f>
        <v>https://www.youtube.com/watch?v=DyvsYJVH56U</v>
      </c>
      <c r="L80" t="inlineStr">
        <is>
          <t xml:space="preserve">Discover my top 5 SharePoint workflow in Power Automate with real world examples. Need a Consultant? Contact ...</t>
        </is>
      </c>
      <c r="M80" t="inlineStr">
        <is>
          <t xml:space="preserve">power automate sharepoint automation</t>
        </is>
      </c>
    </row>
    <row r="81">
      <c r="A81" s="3">
        <v>80</v>
      </c>
      <c r="B81" t="inlineStr">
        <is>
          <t xml:space="preserve">Video</t>
        </is>
      </c>
      <c r="C81" t="inlineStr">
        <is>
          <t xml:space="preserve">English</t>
        </is>
      </c>
      <c r="D81" t="inlineStr">
        <is>
          <t xml:space="preserve">Project / Use case</t>
        </is>
      </c>
      <c r="E81" t="inlineStr">
        <is>
          <t xml:space="preserve">Desktop/RPA</t>
        </is>
      </c>
      <c r="F81" t="inlineStr">
        <is>
          <t xml:space="preserve">Power Automate Desktop - 5 real life use cases</t>
        </is>
      </c>
      <c r="G81" t="inlineStr">
        <is>
          <t xml:space="preserve">Mathias Kjeldsen</t>
        </is>
      </c>
      <c r="H81" s="3">
        <v>28670</v>
      </c>
      <c r="I81" t="inlineStr">
        <is>
          <t xml:space="preserve">2y ago</t>
        </is>
      </c>
      <c r="J81" t="inlineStr">
        <is>
          <t xml:space="preserve">8:40</t>
        </is>
      </c>
      <c r="K81" s="2" t="str">
        <f>HYPERLINK("https://www.youtube.com/watch?v=3Wu02mycCYQ","https://www.youtube.com/watch?v=3Wu02mycCYQ")</f>
        <v>https://www.youtube.com/watch?v=3Wu02mycCYQ</v>
      </c>
      <c r="L81" t="inlineStr">
        <is>
          <t xml:space="preserve">A bit of a different style video this week. I have gathered a few good use cases if you are wondering what you can use Power ...</t>
        </is>
      </c>
      <c r="M81" t="inlineStr">
        <is>
          <t xml:space="preserve">power automate real world project</t>
        </is>
      </c>
    </row>
    <row r="82">
      <c r="A82" s="3">
        <v>81</v>
      </c>
      <c r="B82" t="inlineStr">
        <is>
          <t xml:space="preserve">Video</t>
        </is>
      </c>
      <c r="C82" t="inlineStr">
        <is>
          <t xml:space="preserve">English</t>
        </is>
      </c>
      <c r="D82" t="inlineStr">
        <is>
          <t xml:space="preserve">Project / Use case</t>
        </is>
      </c>
      <c r="E82" t="inlineStr">
        <is>
          <t xml:space="preserve">Email/Outlook</t>
        </is>
      </c>
      <c r="F82" t="inlineStr">
        <is>
          <t xml:space="preserve">7 Power Automate Data Operations: Complete Power Platform Guide with Real Email &amp; CSV Use Cases</t>
        </is>
      </c>
      <c r="G82" t="inlineStr">
        <is>
          <t xml:space="preserve">DamoBird365</t>
        </is>
      </c>
      <c r="H82" s="3">
        <v>23164</v>
      </c>
      <c r="I82" t="inlineStr">
        <is>
          <t xml:space="preserve">1y ago</t>
        </is>
      </c>
      <c r="J82" t="inlineStr">
        <is>
          <t xml:space="preserve">23:51</t>
        </is>
      </c>
      <c r="K82" s="2" t="str">
        <f>HYPERLINK("https://www.youtube.com/watch?v=YfhaU17Q-Rg","https://www.youtube.com/watch?v=YfhaU17Q-Rg")</f>
        <v>https://www.youtube.com/watch?v=YfhaU17Q-Rg</v>
      </c>
      <c r="L82" t="inlineStr">
        <is>
          <t xml:space="preserve">Struggling to manipulate and transform data in Power Automate? Unlock the full power of data operations in Power Platform with ...</t>
        </is>
      </c>
      <c r="M82" t="inlineStr">
        <is>
          <t xml:space="preserve">power automate real world project</t>
        </is>
      </c>
    </row>
    <row r="83">
      <c r="A83" s="3">
        <v>82</v>
      </c>
      <c r="B83" t="inlineStr">
        <is>
          <t xml:space="preserve">Video</t>
        </is>
      </c>
      <c r="C83" t="inlineStr">
        <is>
          <t xml:space="preserve">English</t>
        </is>
      </c>
      <c r="D83" t="inlineStr">
        <is>
          <t xml:space="preserve">Project / Use case</t>
        </is>
      </c>
      <c r="E83" t="inlineStr">
        <is>
          <t xml:space="preserve">Approvals, Power Apps</t>
        </is>
      </c>
      <c r="F83" t="inlineStr">
        <is>
          <t xml:space="preserve">Power Apps Approval Request Screen + Multi-Step Approval Workflow 🚀</t>
        </is>
      </c>
      <c r="G83" t="inlineStr">
        <is>
          <t xml:space="preserve">Reza Dorrani</t>
        </is>
      </c>
      <c r="H83" s="3">
        <v>22865</v>
      </c>
      <c r="I83" t="inlineStr">
        <is>
          <t xml:space="preserve">1mo ago</t>
        </is>
      </c>
      <c r="J83" t="inlineStr">
        <is>
          <t xml:space="preserve">26:13</t>
        </is>
      </c>
      <c r="K83" s="2" t="str">
        <f>HYPERLINK("https://www.youtube.com/watch?v=6oFdLMeaEpw","https://www.youtube.com/watch?v=6oFdLMeaEpw")</f>
        <v>https://www.youtube.com/watch?v=6oFdLMeaEpw</v>
      </c>
      <c r="L83" t="inlineStr">
        <is>
          <t xml:space="preserve">Build a complete multi-step approval solution in Power Apps and Power Automate using the new Approval Request Modern ...</t>
        </is>
      </c>
      <c r="M83" t="inlineStr">
        <is>
          <t xml:space="preserve">power automate approval workflow</t>
        </is>
      </c>
    </row>
    <row r="84">
      <c r="A84" s="3">
        <v>83</v>
      </c>
      <c r="B84" t="inlineStr">
        <is>
          <t xml:space="preserve">Video</t>
        </is>
      </c>
      <c r="C84" t="inlineStr">
        <is>
          <t xml:space="preserve">English</t>
        </is>
      </c>
      <c r="D84" t="inlineStr">
        <is>
          <t xml:space="preserve">Project / Use case</t>
        </is>
      </c>
      <c r="E84" t="inlineStr">
        <is>
          <t xml:space="preserve">AI/Copilot</t>
        </is>
      </c>
      <c r="F84" t="inlineStr">
        <is>
          <t xml:space="preserve">Copilot Agent Flow vs Power Automate | Key Differences, Licensing &amp; When to Use What?</t>
        </is>
      </c>
      <c r="G84" t="inlineStr">
        <is>
          <t xml:space="preserve">Dhruvin Shah</t>
        </is>
      </c>
      <c r="H84" s="3">
        <v>19349</v>
      </c>
      <c r="I84" t="inlineStr">
        <is>
          <t xml:space="preserve">1y ago</t>
        </is>
      </c>
      <c r="J84" t="inlineStr">
        <is>
          <t xml:space="preserve">8:16</t>
        </is>
      </c>
      <c r="K84" s="2" t="str">
        <f>HYPERLINK("https://www.youtube.com/watch?v=0x1eYox5yoE","https://www.youtube.com/watch?v=0x1eYox5yoE")</f>
        <v>https://www.youtube.com/watch?v=0x1eYox5yoE</v>
      </c>
      <c r="L84" t="inlineStr">
        <is>
          <t xml:space="preserve">Copilot Agent Flow vs Power Automate Flow – Which One Should You Use? In this video, I break down the real-world differences ...</t>
        </is>
      </c>
      <c r="M84" t="inlineStr">
        <is>
          <t xml:space="preserve">power automate copilot</t>
        </is>
      </c>
    </row>
    <row r="85">
      <c r="A85" s="3">
        <v>84</v>
      </c>
      <c r="B85" t="inlineStr">
        <is>
          <t xml:space="preserve">Video</t>
        </is>
      </c>
      <c r="C85" t="inlineStr">
        <is>
          <t xml:space="preserve">English</t>
        </is>
      </c>
      <c r="D85" t="inlineStr">
        <is>
          <t xml:space="preserve">Project / Use case</t>
        </is>
      </c>
      <c r="E85" t="inlineStr">
        <is>
          <t xml:space="preserve">Power Apps</t>
        </is>
      </c>
      <c r="F85" t="inlineStr">
        <is>
          <t xml:space="preserve">Power Apps and Power Automate Real World Solution Architecture Guide</t>
        </is>
      </c>
      <c r="G85" t="inlineStr">
        <is>
          <t xml:space="preserve">Microsoft Power Platform</t>
        </is>
      </c>
      <c r="H85" s="3">
        <v>16922</v>
      </c>
      <c r="I85" t="inlineStr">
        <is>
          <t xml:space="preserve">6y ago</t>
        </is>
      </c>
      <c r="J85" t="inlineStr">
        <is>
          <t xml:space="preserve">1:07:52</t>
        </is>
      </c>
      <c r="K85" s="2" t="str">
        <f>HYPERLINK("https://www.youtube.com/watch?v=R8Fp8FdogsI","https://www.youtube.com/watch?v=R8Fp8FdogsI")</f>
        <v>https://www.youtube.com/watch?v=R8Fp8FdogsI</v>
      </c>
      <c r="L85" t="inlineStr">
        <is>
          <t xml:space="preserve">The Power Apps and Automate Architecture Series, presented by Power CAT, will prepare you for upcoming complex Power ...</t>
        </is>
      </c>
      <c r="M85" t="inlineStr">
        <is>
          <t xml:space="preserve">power automate real world project</t>
        </is>
      </c>
    </row>
    <row r="86">
      <c r="A86" s="3">
        <v>85</v>
      </c>
      <c r="B86" t="inlineStr">
        <is>
          <t xml:space="preserve">Video</t>
        </is>
      </c>
      <c r="C86" t="inlineStr">
        <is>
          <t xml:space="preserve">English</t>
        </is>
      </c>
      <c r="D86" t="inlineStr">
        <is>
          <t xml:space="preserve">Project / Use case</t>
        </is>
      </c>
      <c r="E86" t="inlineStr">
        <is>
          <t xml:space="preserve">Email/Outlook, AI/Copilot</t>
        </is>
      </c>
      <c r="F86" t="inlineStr">
        <is>
          <t xml:space="preserve">Complete AI Builder Use Case: Classify Emails in Power Automate</t>
        </is>
      </c>
      <c r="G86" t="inlineStr">
        <is>
          <t xml:space="preserve">Anders Jensen</t>
        </is>
      </c>
      <c r="H86" s="3">
        <v>16859</v>
      </c>
      <c r="I86" t="inlineStr">
        <is>
          <t xml:space="preserve">11mo ago</t>
        </is>
      </c>
      <c r="J86" t="inlineStr">
        <is>
          <t xml:space="preserve">50:11</t>
        </is>
      </c>
      <c r="K86" s="2" t="str">
        <f>HYPERLINK("https://www.youtube.com/watch?v=2mq_cFMvfoY","https://www.youtube.com/watch?v=2mq_cFMvfoY")</f>
        <v>https://www.youtube.com/watch?v=2mq_cFMvfoY</v>
      </c>
      <c r="L86" t="inlineStr">
        <is>
          <t xml:space="preserve">Learn how to build a complete email classification system using AI Builder and Power Automate. This real-world use case shows ...</t>
        </is>
      </c>
      <c r="M86" t="inlineStr">
        <is>
          <t xml:space="preserve">power automate AI builder</t>
        </is>
      </c>
    </row>
    <row r="87">
      <c r="A87" s="3">
        <v>86</v>
      </c>
      <c r="B87" t="inlineStr">
        <is>
          <t xml:space="preserve">Video</t>
        </is>
      </c>
      <c r="C87" t="inlineStr">
        <is>
          <t xml:space="preserve">English</t>
        </is>
      </c>
      <c r="D87" t="inlineStr">
        <is>
          <t xml:space="preserve">Project / Use case</t>
        </is>
      </c>
      <c r="E87" t="inlineStr">
        <is>
          <t xml:space="preserve">Forms</t>
        </is>
      </c>
      <c r="F87" t="inlineStr">
        <is>
          <t xml:space="preserve">Microsoft Power Automate Tutorial -  Flows and Forms in the Real World</t>
        </is>
      </c>
      <c r="G87" t="inlineStr">
        <is>
          <t xml:space="preserve">Jon Levesque</t>
        </is>
      </c>
      <c r="H87" s="3">
        <v>16223</v>
      </c>
      <c r="I87" t="inlineStr">
        <is>
          <t xml:space="preserve">7y ago</t>
        </is>
      </c>
      <c r="J87" t="inlineStr">
        <is>
          <t xml:space="preserve">11:59</t>
        </is>
      </c>
      <c r="K87" s="2" t="str">
        <f>HYPERLINK("https://www.youtube.com/watch?v=AOpm_lVjgmk","https://www.youtube.com/watch?v=AOpm_lVjgmk")</f>
        <v>https://www.youtube.com/watch?v=AOpm_lVjgmk</v>
      </c>
      <c r="L87" t="inlineStr">
        <is>
          <t xml:space="preserve">Whats up friends?! In this weeks video I am showing you how My Fiancee is using Flow to help automate some common tasks for ...</t>
        </is>
      </c>
      <c r="M87" t="inlineStr">
        <is>
          <t xml:space="preserve">power automate real world project</t>
        </is>
      </c>
    </row>
    <row r="88">
      <c r="A88" s="3">
        <v>87</v>
      </c>
      <c r="B88" t="inlineStr">
        <is>
          <t xml:space="preserve">Video</t>
        </is>
      </c>
      <c r="C88" t="inlineStr">
        <is>
          <t xml:space="preserve">English</t>
        </is>
      </c>
      <c r="D88" t="inlineStr">
        <is>
          <t xml:space="preserve">Project / Use case</t>
        </is>
      </c>
      <c r="E88" t="inlineStr">
        <is>
          <t xml:space="preserve">Email/Outlook, AI/Copilot</t>
        </is>
      </c>
      <c r="F88" t="inlineStr">
        <is>
          <t xml:space="preserve">Automatically Categorize Outlook Emails with AI Builder &amp; Power Automate (Complete Tutorial)</t>
        </is>
      </c>
      <c r="G88" t="inlineStr">
        <is>
          <t xml:space="preserve">Technologiate</t>
        </is>
      </c>
      <c r="H88" s="3">
        <v>16137</v>
      </c>
      <c r="I88" t="inlineStr">
        <is>
          <t xml:space="preserve">1y ago</t>
        </is>
      </c>
      <c r="J88" t="inlineStr">
        <is>
          <t xml:space="preserve">10:25</t>
        </is>
      </c>
      <c r="K88" s="2" t="str">
        <f>HYPERLINK("https://www.youtube.com/watch?v=9X5P7tgwTA8","https://www.youtube.com/watch?v=9X5P7tgwTA8")</f>
        <v>https://www.youtube.com/watch?v=9X5P7tgwTA8</v>
      </c>
      <c r="L88" t="inlineStr">
        <is>
          <t xml:space="preserve">This step-by-step tutorial shows you how to build an intelligent AI system that automatically categorizes every email you receive ...</t>
        </is>
      </c>
      <c r="M88" t="inlineStr">
        <is>
          <t xml:space="preserve">power automate email automation outlook</t>
        </is>
      </c>
    </row>
    <row r="89">
      <c r="A89" s="3">
        <v>88</v>
      </c>
      <c r="B89" t="inlineStr">
        <is>
          <t xml:space="preserve">Video</t>
        </is>
      </c>
      <c r="C89" t="inlineStr">
        <is>
          <t xml:space="preserve">English</t>
        </is>
      </c>
      <c r="D89" t="inlineStr">
        <is>
          <t xml:space="preserve">Project / Use case</t>
        </is>
      </c>
      <c r="E89" t="inlineStr">
        <is>
          <t xml:space="preserve">SharePoint, Power Apps</t>
        </is>
      </c>
      <c r="F89" t="inlineStr">
        <is>
          <t xml:space="preserve">I Built a Document Generation System with Power Apps + Power Automate</t>
        </is>
      </c>
      <c r="G89" t="inlineStr">
        <is>
          <t xml:space="preserve">Michael Alex</t>
        </is>
      </c>
      <c r="H89" s="3">
        <v>10374</v>
      </c>
      <c r="I89" t="inlineStr">
        <is>
          <t xml:space="preserve">2w ago</t>
        </is>
      </c>
      <c r="J89" t="inlineStr">
        <is>
          <t xml:space="preserve">29:47</t>
        </is>
      </c>
      <c r="K89" s="2" t="str">
        <f>HYPERLINK("https://www.youtube.com/watch?v=jOWoxvKrtPY","https://www.youtube.com/watch?v=jOWoxvKrtPY")</f>
        <v>https://www.youtube.com/watch?v=jOWoxvKrtPY</v>
      </c>
      <c r="L89" t="inlineStr">
        <is>
          <t xml:space="preserve">In this video, I build a complete Document Generation System using Power Apps, Power Automate, SharePoint, and Microsoft ...</t>
        </is>
      </c>
      <c r="M89" t="inlineStr">
        <is>
          <t xml:space="preserve">power apps power automate project</t>
        </is>
      </c>
    </row>
    <row r="90">
      <c r="A90" s="3">
        <v>89</v>
      </c>
      <c r="B90" t="inlineStr">
        <is>
          <t xml:space="preserve">Video</t>
        </is>
      </c>
      <c r="C90" t="inlineStr">
        <is>
          <t xml:space="preserve">English</t>
        </is>
      </c>
      <c r="D90" t="inlineStr">
        <is>
          <t xml:space="preserve">Project / Use case</t>
        </is>
      </c>
      <c r="E90" t="inlineStr">
        <is>
          <t xml:space="preserve">SharePoint</t>
        </is>
      </c>
      <c r="F90" t="inlineStr">
        <is>
          <t xml:space="preserve">Transform Your Workflow: Build a Clocking-In System with SharePoint and Power Automate!</t>
        </is>
      </c>
      <c r="G90" t="inlineStr">
        <is>
          <t xml:space="preserve">SharePoint Dougie</t>
        </is>
      </c>
      <c r="H90" s="3">
        <v>8367</v>
      </c>
      <c r="I90" t="inlineStr">
        <is>
          <t xml:space="preserve">3y ago</t>
        </is>
      </c>
      <c r="J90" t="inlineStr">
        <is>
          <t xml:space="preserve">17:43</t>
        </is>
      </c>
      <c r="K90" s="2" t="str">
        <f>HYPERLINK("https://www.youtube.com/watch?v=UTq-AXw4ZBE","https://www.youtube.com/watch?v=UTq-AXw4ZBE")</f>
        <v>https://www.youtube.com/watch?v=UTq-AXw4ZBE</v>
      </c>
      <c r="L90" t="inlineStr">
        <is>
          <t xml:space="preserve">How to build a Clocking in System with SharePoint and Power Automate Need a SharePoint consult? Contact me: ...</t>
        </is>
      </c>
      <c r="M90" t="inlineStr">
        <is>
          <t xml:space="preserve">power automate sharepoint automation</t>
        </is>
      </c>
    </row>
    <row r="91">
      <c r="A91" s="3">
        <v>90</v>
      </c>
      <c r="B91" t="inlineStr">
        <is>
          <t xml:space="preserve">Video</t>
        </is>
      </c>
      <c r="C91" t="inlineStr">
        <is>
          <t xml:space="preserve">English</t>
        </is>
      </c>
      <c r="D91" t="inlineStr">
        <is>
          <t xml:space="preserve">Project / Use case</t>
        </is>
      </c>
      <c r="E91" t="inlineStr">
        <is>
          <t xml:space="preserve">Power Apps</t>
        </is>
      </c>
      <c r="F91" t="inlineStr">
        <is>
          <t xml:space="preserve">Create Task Management System in PowerApps | Power Platform Project</t>
        </is>
      </c>
      <c r="G91" t="inlineStr">
        <is>
          <t xml:space="preserve">KnowHow Academy</t>
        </is>
      </c>
      <c r="H91" s="3">
        <v>7660</v>
      </c>
      <c r="I91" t="inlineStr">
        <is>
          <t xml:space="preserve">1y ago</t>
        </is>
      </c>
      <c r="J91" t="inlineStr">
        <is>
          <t xml:space="preserve">13:30</t>
        </is>
      </c>
      <c r="K91" s="2" t="str">
        <f>HYPERLINK("https://www.youtube.com/watch?v=CsaiUin64qE","https://www.youtube.com/watch?v=CsaiUin64qE")</f>
        <v>https://www.youtube.com/watch?v=CsaiUin64qE</v>
      </c>
      <c r="L91" t="inlineStr">
        <is>
          <t xml:space="preserve">In this video, we'll walk you through a step-by-step process to create a powerful and user-friendly Task Management Application ...</t>
        </is>
      </c>
      <c r="M91" t="inlineStr">
        <is>
          <t xml:space="preserve">power apps power automate project</t>
        </is>
      </c>
    </row>
    <row r="92">
      <c r="A92" s="3">
        <v>91</v>
      </c>
      <c r="B92" t="inlineStr">
        <is>
          <t xml:space="preserve">Video</t>
        </is>
      </c>
      <c r="C92" t="inlineStr">
        <is>
          <t xml:space="preserve">English</t>
        </is>
      </c>
      <c r="D92" t="inlineStr">
        <is>
          <t xml:space="preserve">Project / Use case</t>
        </is>
      </c>
      <c r="E92" t="inlineStr">
        <is>
          <t xml:space="preserve">Email/Outlook, AI/Copilot</t>
        </is>
      </c>
      <c r="F92" t="inlineStr">
        <is>
          <t xml:space="preserve">Automatically Organize Outlook Emails into Folders | AI Builder &amp; Power Automate</t>
        </is>
      </c>
      <c r="G92" t="inlineStr">
        <is>
          <t xml:space="preserve">Technologiate</t>
        </is>
      </c>
      <c r="H92" s="3">
        <v>6906</v>
      </c>
      <c r="I92" t="inlineStr">
        <is>
          <t xml:space="preserve">1y ago</t>
        </is>
      </c>
      <c r="J92" t="inlineStr">
        <is>
          <t xml:space="preserve">10:39</t>
        </is>
      </c>
      <c r="K92" s="2" t="str">
        <f>HYPERLINK("https://www.youtube.com/watch?v=utlURXW4OUQ","https://www.youtube.com/watch?v=utlURXW4OUQ")</f>
        <v>https://www.youtube.com/watch?v=utlURXW4OUQ</v>
      </c>
      <c r="L92" t="inlineStr">
        <is>
          <t xml:space="preserve">This complete tutorial shows you how to build an automated system that organizes your Outlook emails into folders every night ...</t>
        </is>
      </c>
      <c r="M92" t="inlineStr">
        <is>
          <t xml:space="preserve">power automate email automation outlook</t>
        </is>
      </c>
    </row>
    <row r="93">
      <c r="A93" s="3">
        <v>92</v>
      </c>
      <c r="B93" t="inlineStr">
        <is>
          <t xml:space="preserve">Video</t>
        </is>
      </c>
      <c r="C93" t="inlineStr">
        <is>
          <t xml:space="preserve">English</t>
        </is>
      </c>
      <c r="D93" t="inlineStr">
        <is>
          <t xml:space="preserve">Project / Use case</t>
        </is>
      </c>
      <c r="E93" t="inlineStr">
        <is>
          <t xml:space="preserve">Desktop/RPA</t>
        </is>
      </c>
      <c r="F93" t="inlineStr">
        <is>
          <t xml:space="preserve">Power Automate Desktop Real Time Project | KT Sessions | Power Automate Desktop Tutorials</t>
        </is>
      </c>
      <c r="G93" t="inlineStr">
        <is>
          <t xml:space="preserve">KT Sessions</t>
        </is>
      </c>
      <c r="H93" s="3">
        <v>6244</v>
      </c>
      <c r="I93" t="inlineStr">
        <is>
          <t xml:space="preserve">1y ago</t>
        </is>
      </c>
      <c r="J93" t="inlineStr">
        <is>
          <t xml:space="preserve">22:15</t>
        </is>
      </c>
      <c r="K93" s="2" t="str">
        <f>HYPERLINK("https://www.youtube.com/watch?v=MbBXneZBx9A","https://www.youtube.com/watch?v=MbBXneZBx9A")</f>
        <v>https://www.youtube.com/watch?v=MbBXneZBx9A</v>
      </c>
      <c r="L93" t="inlineStr">
        <is>
          <t xml:space="preserve">Welcome to the final video in our Power Automate Desktop Beginner's series! In this ultimate tutorial, we'll build a complete ...</t>
        </is>
      </c>
      <c r="M93" t="inlineStr">
        <is>
          <t xml:space="preserve">power automate project ; power automate desktop project</t>
        </is>
      </c>
    </row>
    <row r="94">
      <c r="A94" s="3">
        <v>93</v>
      </c>
      <c r="B94" t="inlineStr">
        <is>
          <t xml:space="preserve">Video</t>
        </is>
      </c>
      <c r="C94" t="inlineStr">
        <is>
          <t xml:space="preserve">English</t>
        </is>
      </c>
      <c r="D94" t="inlineStr">
        <is>
          <t xml:space="preserve">Project / Use case</t>
        </is>
      </c>
      <c r="E94" t="inlineStr">
        <is>
          <t xml:space="preserve">Email/Outlook, AI/Copilot</t>
        </is>
      </c>
      <c r="F94" t="inlineStr">
        <is>
          <t xml:space="preserve">Auto Reply Outlook Emails with AI | Power Automate Email Assistant Saves 2+ Hours Daily</t>
        </is>
      </c>
      <c r="G94" t="inlineStr">
        <is>
          <t xml:space="preserve">Technologiate</t>
        </is>
      </c>
      <c r="H94" s="3">
        <v>5487</v>
      </c>
      <c r="I94" t="inlineStr">
        <is>
          <t xml:space="preserve">1y ago</t>
        </is>
      </c>
      <c r="J94" t="inlineStr">
        <is>
          <t xml:space="preserve">16:56</t>
        </is>
      </c>
      <c r="K94" s="2" t="str">
        <f>HYPERLINK("https://www.youtube.com/watch?v=AMmyHl_HDpo","https://www.youtube.com/watch?v=AMmyHl_HDpo")</f>
        <v>https://www.youtube.com/watch?v=AMmyHl_HDpo</v>
      </c>
      <c r="L94" t="inlineStr">
        <is>
          <t xml:space="preserve">This step-by-step tutorial shows you how to build an intelligent AI email assistant using Microsoft Power Automate and AI Builder ...</t>
        </is>
      </c>
      <c r="M94" t="inlineStr">
        <is>
          <t xml:space="preserve">power automate email automation outlook</t>
        </is>
      </c>
    </row>
    <row r="95">
      <c r="A95" s="3">
        <v>94</v>
      </c>
      <c r="B95" t="inlineStr">
        <is>
          <t xml:space="preserve">Video</t>
        </is>
      </c>
      <c r="C95" t="inlineStr">
        <is>
          <t xml:space="preserve">English</t>
        </is>
      </c>
      <c r="D95" t="inlineStr">
        <is>
          <t xml:space="preserve">Project / Use case</t>
        </is>
      </c>
      <c r="E95" t="inlineStr">
        <is>
          <t xml:space="preserve">Excel, Email/Outlook</t>
        </is>
      </c>
      <c r="F95" t="inlineStr">
        <is>
          <t xml:space="preserve">How to Auto-Send Follow-Up Emails in Outlook When No One Replies | Power Automate + Excel</t>
        </is>
      </c>
      <c r="G95" t="inlineStr">
        <is>
          <t xml:space="preserve">Technologiate</t>
        </is>
      </c>
      <c r="H95" s="3">
        <v>5070</v>
      </c>
      <c r="I95" t="inlineStr">
        <is>
          <t xml:space="preserve">6mo ago</t>
        </is>
      </c>
      <c r="J95" t="inlineStr">
        <is>
          <t xml:space="preserve">24:46</t>
        </is>
      </c>
      <c r="K95" s="2" t="str">
        <f>HYPERLINK("https://www.youtube.com/watch?v=W99k6X8WbdE","https://www.youtube.com/watch?v=W99k6X8WbdE")</f>
        <v>https://www.youtube.com/watch?v=W99k6X8WbdE</v>
      </c>
      <c r="L95" t="inlineStr">
        <is>
          <t xml:space="preserve">In this tutorial, I build a complete automated follow-up email system using Power Automate, Excel, and Outlook. The flow runs ...</t>
        </is>
      </c>
      <c r="M95" t="inlineStr">
        <is>
          <t xml:space="preserve">power automate email automation outlook</t>
        </is>
      </c>
    </row>
    <row r="96">
      <c r="A96" s="3">
        <v>95</v>
      </c>
      <c r="B96" t="inlineStr">
        <is>
          <t xml:space="preserve">Video</t>
        </is>
      </c>
      <c r="C96" t="inlineStr">
        <is>
          <t xml:space="preserve">English</t>
        </is>
      </c>
      <c r="D96" t="inlineStr">
        <is>
          <t xml:space="preserve">Project / Use case</t>
        </is>
      </c>
      <c r="E96" t="inlineStr">
        <is>
          <t xml:space="preserve">AI/Copilot</t>
        </is>
      </c>
      <c r="F96" t="inlineStr">
        <is>
          <t xml:space="preserve">Microsoft Power Automate | FULL COURSE for Beginners [2026]</t>
        </is>
      </c>
      <c r="G96" t="inlineStr">
        <is>
          <t xml:space="preserve">Powercademy</t>
        </is>
      </c>
      <c r="H96" s="3">
        <v>5014</v>
      </c>
      <c r="I96" t="inlineStr">
        <is>
          <t xml:space="preserve">3d ago</t>
        </is>
      </c>
      <c r="J96" t="inlineStr">
        <is>
          <t xml:space="preserve">1:49:27</t>
        </is>
      </c>
      <c r="K96" s="2" t="str">
        <f>HYPERLINK("https://www.youtube.com/watch?v=TEYTbsZCrzE","https://www.youtube.com/watch?v=TEYTbsZCrzE")</f>
        <v>https://www.youtube.com/watch?v=TEYTbsZCrzE</v>
      </c>
      <c r="L96" t="inlineStr">
        <is>
          <t xml:space="preserve">WANT SUPPORT ON YOUR POWER PLATFORM / MICROSOFT AI PROJECTS? Book a call with Howdang here: ...</t>
        </is>
      </c>
      <c r="M96" t="inlineStr">
        <is>
          <t xml:space="preserve">power automate full course ; power automate tutorial for beginners ; power automate advanced tutorial ; পাওয়ার অটোমেট</t>
        </is>
      </c>
    </row>
    <row r="97">
      <c r="A97" s="3">
        <v>96</v>
      </c>
      <c r="B97" t="inlineStr">
        <is>
          <t xml:space="preserve">Video</t>
        </is>
      </c>
      <c r="C97" t="inlineStr">
        <is>
          <t xml:space="preserve">English</t>
        </is>
      </c>
      <c r="D97" t="inlineStr">
        <is>
          <t xml:space="preserve">Project / Use case</t>
        </is>
      </c>
      <c r="E97" t="inlineStr">
        <is>
          <t xml:space="preserve"/>
        </is>
      </c>
      <c r="F97" t="inlineStr">
        <is>
          <t xml:space="preserve">Power Automate for Advanced Users: End-to-End Real-Life Case</t>
        </is>
      </c>
      <c r="G97" t="inlineStr">
        <is>
          <t xml:space="preserve">Anders Jensen</t>
        </is>
      </c>
      <c r="H97" s="3">
        <v>4383</v>
      </c>
      <c r="I97" t="inlineStr">
        <is>
          <t xml:space="preserve">7mo ago</t>
        </is>
      </c>
      <c r="J97" t="inlineStr">
        <is>
          <t xml:space="preserve">40:50</t>
        </is>
      </c>
      <c r="K97" s="2" t="str">
        <f>HYPERLINK("https://www.youtube.com/watch?v=9w-e4PrhxYE","https://www.youtube.com/watch?v=9w-e4PrhxYE")</f>
        <v>https://www.youtube.com/watch?v=9w-e4PrhxYE</v>
      </c>
      <c r="L97" t="inlineStr">
        <is>
          <t xml:space="preserve">This video shows how to build an advanced end-to-end solution with Power Automate using real-world patterns. You will see how ...</t>
        </is>
      </c>
      <c r="M97" t="inlineStr">
        <is>
          <t xml:space="preserve">power automate real world project ; power automate advanced tutorial</t>
        </is>
      </c>
    </row>
    <row r="98">
      <c r="A98" s="3">
        <v>97</v>
      </c>
      <c r="B98" t="inlineStr">
        <is>
          <t xml:space="preserve">Video</t>
        </is>
      </c>
      <c r="C98" t="inlineStr">
        <is>
          <t xml:space="preserve">English</t>
        </is>
      </c>
      <c r="D98" t="inlineStr">
        <is>
          <t xml:space="preserve">Project / Use case</t>
        </is>
      </c>
      <c r="E98" t="inlineStr">
        <is>
          <t xml:space="preserve">Desktop/RPA</t>
        </is>
      </c>
      <c r="F98" t="inlineStr">
        <is>
          <t xml:space="preserve">Microsoft Power Automate Desktop Tutorial | Power Automate Desktop Project for Practice</t>
        </is>
      </c>
      <c r="G98" t="inlineStr">
        <is>
          <t xml:space="preserve">EasyWay2Learn</t>
        </is>
      </c>
      <c r="H98" s="3">
        <v>2838</v>
      </c>
      <c r="I98" t="inlineStr">
        <is>
          <t xml:space="preserve">3y ago</t>
        </is>
      </c>
      <c r="J98" t="inlineStr">
        <is>
          <t xml:space="preserve">24:20</t>
        </is>
      </c>
      <c r="K98" s="2" t="str">
        <f>HYPERLINK("https://www.youtube.com/watch?v=a1sxlk6ru2c","https://www.youtube.com/watch?v=a1sxlk6ru2c")</f>
        <v>https://www.youtube.com/watch?v=a1sxlk6ru2c</v>
      </c>
      <c r="L98" t="inlineStr">
        <is>
          <t xml:space="preserve">Welcome to @easyways2learn In this comprehensive Microsoft Power Automate Desktop tutorial, we are diving deep into ...</t>
        </is>
      </c>
      <c r="M98" t="inlineStr">
        <is>
          <t xml:space="preserve">power automate desktop project</t>
        </is>
      </c>
    </row>
    <row r="99">
      <c r="A99" s="3">
        <v>98</v>
      </c>
      <c r="B99" t="inlineStr">
        <is>
          <t xml:space="preserve">Video</t>
        </is>
      </c>
      <c r="C99" t="inlineStr">
        <is>
          <t xml:space="preserve">English</t>
        </is>
      </c>
      <c r="D99" t="inlineStr">
        <is>
          <t xml:space="preserve">Project / Use case</t>
        </is>
      </c>
      <c r="E99" t="inlineStr">
        <is>
          <t xml:space="preserve">Approvals</t>
        </is>
      </c>
      <c r="F99" t="inlineStr">
        <is>
          <t xml:space="preserve">Power Automate Mock Interview: Flows, Approvals &amp; Real Project Examples</t>
        </is>
      </c>
      <c r="G99" t="inlineStr">
        <is>
          <t xml:space="preserve">KSR Datavizon </t>
        </is>
      </c>
      <c r="H99" s="3">
        <v>2386</v>
      </c>
      <c r="I99" t="inlineStr">
        <is>
          <t xml:space="preserve">5mo ago</t>
        </is>
      </c>
      <c r="J99" t="inlineStr">
        <is>
          <t xml:space="preserve">27:27</t>
        </is>
      </c>
      <c r="K99" s="2" t="str">
        <f>HYPERLINK("https://www.youtube.com/watch?v=ZSXDdUNYCNA","https://www.youtube.com/watch?v=ZSXDdUNYCNA")</f>
        <v>https://www.youtube.com/watch?v=ZSXDdUNYCNA</v>
      </c>
      <c r="L99" t="inlineStr">
        <is>
          <t xml:space="preserve">Are you preparing for a Power Platform developer interview or looking to sharpen your technical knowledge of the Microsoft ...</t>
        </is>
      </c>
      <c r="M99" t="inlineStr">
        <is>
          <t xml:space="preserve">power automate interview questions</t>
        </is>
      </c>
    </row>
    <row r="100">
      <c r="A100" s="3">
        <v>99</v>
      </c>
      <c r="B100" t="inlineStr">
        <is>
          <t xml:space="preserve">Video</t>
        </is>
      </c>
      <c r="C100" t="inlineStr">
        <is>
          <t xml:space="preserve">English</t>
        </is>
      </c>
      <c r="D100" t="inlineStr">
        <is>
          <t xml:space="preserve">Project / Use case</t>
        </is>
      </c>
      <c r="E100" t="inlineStr">
        <is>
          <t xml:space="preserve">Desktop/RPA, Excel, Web automation</t>
        </is>
      </c>
      <c r="F100" t="inlineStr">
        <is>
          <t xml:space="preserve">Power Automate Desktop || Project #4 : NSE - Creating folder to save data in excel - Part 9</t>
        </is>
      </c>
      <c r="G100" t="inlineStr">
        <is>
          <t xml:space="preserve">Learn RPA &amp; AI Technologies every day</t>
        </is>
      </c>
      <c r="H100" s="3">
        <v>1626</v>
      </c>
      <c r="I100" t="inlineStr">
        <is>
          <t xml:space="preserve">3y ago</t>
        </is>
      </c>
      <c r="J100" t="inlineStr">
        <is>
          <t xml:space="preserve">8:37</t>
        </is>
      </c>
      <c r="K100" s="2" t="str">
        <f>HYPERLINK("https://www.youtube.com/watch?v=O9kSdlEJKW0","https://www.youtube.com/watch?v=O9kSdlEJKW0")</f>
        <v>https://www.youtube.com/watch?v=O9kSdlEJKW0</v>
      </c>
      <c r="L100" t="inlineStr">
        <is>
          <t xml:space="preserve">Don't forget to SUBSCRIBE and hit the bell icon to get notified of new RPA videos.. Thank you! #webautomation ...</t>
        </is>
      </c>
      <c r="M100" t="inlineStr">
        <is>
          <t xml:space="preserve">power automate desktop project</t>
        </is>
      </c>
    </row>
    <row r="101">
      <c r="A101" s="3">
        <v>100</v>
      </c>
      <c r="B101" t="inlineStr">
        <is>
          <t xml:space="preserve">Video</t>
        </is>
      </c>
      <c r="C101" t="inlineStr">
        <is>
          <t xml:space="preserve">English</t>
        </is>
      </c>
      <c r="D101" t="inlineStr">
        <is>
          <t xml:space="preserve">Project / Use case</t>
        </is>
      </c>
      <c r="E101" t="inlineStr">
        <is>
          <t xml:space="preserve">Desktop/RPA, AI/Copilot</t>
        </is>
      </c>
      <c r="F101" t="inlineStr">
        <is>
          <t xml:space="preserve">Develop End-to-End Automation Using Power Automate Desktop | AI Copilot Series - Use case 3</t>
        </is>
      </c>
      <c r="G101" t="inlineStr">
        <is>
          <t xml:space="preserve">Deenuji Loganathan</t>
        </is>
      </c>
      <c r="H101" s="3">
        <v>992</v>
      </c>
      <c r="I101" t="inlineStr">
        <is>
          <t xml:space="preserve">1y ago</t>
        </is>
      </c>
      <c r="J101" t="inlineStr">
        <is>
          <t xml:space="preserve">36:58</t>
        </is>
      </c>
      <c r="K101" s="2" t="str">
        <f>HYPERLINK("https://www.youtube.com/watch?v=CcoLXF7Qi5A","https://www.youtube.com/watch?v=CcoLXF7Qi5A")</f>
        <v>https://www.youtube.com/watch?v=CcoLXF7Qi5A</v>
      </c>
      <c r="L101" t="inlineStr">
        <is>
          <t xml:space="preserve">In this video, we walk through a fully automated bank reconciliation process using Power Automate Desktop and the intelligence ...</t>
        </is>
      </c>
      <c r="M101" t="inlineStr">
        <is>
          <t xml:space="preserve">power automate desktop project</t>
        </is>
      </c>
    </row>
    <row r="102">
      <c r="A102" s="3">
        <v>101</v>
      </c>
      <c r="B102" t="inlineStr">
        <is>
          <t xml:space="preserve">Video</t>
        </is>
      </c>
      <c r="C102" t="inlineStr">
        <is>
          <t xml:space="preserve">English</t>
        </is>
      </c>
      <c r="D102" t="inlineStr">
        <is>
          <t xml:space="preserve">Project / Use case</t>
        </is>
      </c>
      <c r="E102" t="inlineStr">
        <is>
          <t xml:space="preserve">Approvals</t>
        </is>
      </c>
      <c r="F102" t="inlineStr">
        <is>
          <t xml:space="preserve">Power Automate Approvals Complete Course | Build a Real-World Approval Workflow (2026)</t>
        </is>
      </c>
      <c r="G102" t="inlineStr">
        <is>
          <t xml:space="preserve">CoyLix</t>
        </is>
      </c>
      <c r="H102" s="3">
        <v>873</v>
      </c>
      <c r="I102" t="inlineStr">
        <is>
          <t xml:space="preserve">2mo ago</t>
        </is>
      </c>
      <c r="J102" t="inlineStr">
        <is>
          <t xml:space="preserve">52:30</t>
        </is>
      </c>
      <c r="K102" s="2" t="str">
        <f>HYPERLINK("https://www.youtube.com/watch?v=K85VD6Yw11M","https://www.youtube.com/watch?v=K85VD6Yw11M")</f>
        <v>https://www.youtube.com/watch?v=K85VD6Yw11M</v>
      </c>
      <c r="L102" t="inlineStr">
        <is>
          <t xml:space="preserve">Crack Your Next Power Platform Interview ...</t>
        </is>
      </c>
      <c r="M102" t="inlineStr">
        <is>
          <t xml:space="preserve">power automate approval workflow</t>
        </is>
      </c>
    </row>
    <row r="103">
      <c r="A103" s="3">
        <v>102</v>
      </c>
      <c r="B103" t="inlineStr">
        <is>
          <t xml:space="preserve">Video</t>
        </is>
      </c>
      <c r="C103" t="inlineStr">
        <is>
          <t xml:space="preserve">English</t>
        </is>
      </c>
      <c r="D103" t="inlineStr">
        <is>
          <t xml:space="preserve">Project / Use case</t>
        </is>
      </c>
      <c r="E103" t="inlineStr">
        <is>
          <t xml:space="preserve">Cloud flows</t>
        </is>
      </c>
      <c r="F103" t="inlineStr">
        <is>
          <t xml:space="preserve">Power Automate Do Until: Build a Real-World Flow (Part 2/2)</t>
        </is>
      </c>
      <c r="G103" t="inlineStr">
        <is>
          <t xml:space="preserve">Alireza Aliabadi</t>
        </is>
      </c>
      <c r="H103" s="3">
        <v>439</v>
      </c>
      <c r="I103" t="inlineStr">
        <is>
          <t xml:space="preserve">1mo ago</t>
        </is>
      </c>
      <c r="J103" t="inlineStr">
        <is>
          <t xml:space="preserve">19:24</t>
        </is>
      </c>
      <c r="K103" s="2" t="str">
        <f>HYPERLINK("https://www.youtube.com/watch?v=bODxDeddwlc","https://www.youtube.com/watch?v=bODxDeddwlc")</f>
        <v>https://www.youtube.com/watch?v=bODxDeddwlc</v>
      </c>
      <c r="L103" t="inlineStr">
        <is>
          <t xml:space="preserve">In Part 2 of our Power Automate Do Until series, the training wheels are officially off. We build a realistic automated cloud flow ...</t>
        </is>
      </c>
      <c r="M103" t="inlineStr">
        <is>
          <t xml:space="preserve">power automate real world project</t>
        </is>
      </c>
    </row>
    <row r="104">
      <c r="A104" s="3">
        <v>103</v>
      </c>
      <c r="B104" t="inlineStr">
        <is>
          <t xml:space="preserve">Video</t>
        </is>
      </c>
      <c r="C104" t="inlineStr">
        <is>
          <t xml:space="preserve">English</t>
        </is>
      </c>
      <c r="D104" t="inlineStr">
        <is>
          <t xml:space="preserve">Project / Use case</t>
        </is>
      </c>
      <c r="E104" t="inlineStr">
        <is>
          <t xml:space="preserve">Approvals</t>
        </is>
      </c>
      <c r="F104" t="inlineStr">
        <is>
          <t xml:space="preserve">How to Create an Approval Flow in Power Automate, Build Approval Workflow Process Easily 2026</t>
        </is>
      </c>
      <c r="G104" t="inlineStr">
        <is>
          <t xml:space="preserve">PMN Online</t>
        </is>
      </c>
      <c r="H104" s="3">
        <v>389</v>
      </c>
      <c r="I104" t="inlineStr">
        <is>
          <t xml:space="preserve">2mo ago</t>
        </is>
      </c>
      <c r="J104" t="inlineStr">
        <is>
          <t xml:space="preserve">8:18</t>
        </is>
      </c>
      <c r="K104" s="2" t="str">
        <f>HYPERLINK("https://www.youtube.com/watch?v=t1q-f6cRls0","https://www.youtube.com/watch?v=t1q-f6cRls0")</f>
        <v>https://www.youtube.com/watch?v=t1q-f6cRls0</v>
      </c>
      <c r="L104" t="inlineStr">
        <is>
          <t xml:space="preserve">In this video I have shown How to Create an Approval Flow in Power Automate, Build Approval Workflow Process Easily 2026.</t>
        </is>
      </c>
      <c r="M104" t="inlineStr">
        <is>
          <t xml:space="preserve">power automate approval workflow</t>
        </is>
      </c>
    </row>
    <row r="105">
      <c r="A105" s="3">
        <v>104</v>
      </c>
      <c r="B105" t="inlineStr">
        <is>
          <t xml:space="preserve">Playlist</t>
        </is>
      </c>
      <c r="C105" t="inlineStr">
        <is>
          <t xml:space="preserve">English</t>
        </is>
      </c>
      <c r="D105" t="inlineStr">
        <is>
          <t xml:space="preserve">Project / Use case</t>
        </is>
      </c>
      <c r="E105" t="inlineStr">
        <is>
          <t xml:space="preserve">Cloud flows</t>
        </is>
      </c>
      <c r="F105" t="inlineStr">
        <is>
          <t xml:space="preserve">Power Automate Cloud Flow Project</t>
        </is>
      </c>
      <c r="G105" t="inlineStr">
        <is>
          <t xml:space="preserve">Last Minute Coders</t>
        </is>
      </c>
      <c r="H105" t="inlineStr">
        <is>
          <t xml:space="preserve"/>
        </is>
      </c>
      <c r="I105" t="inlineStr">
        <is>
          <t xml:space="preserve"/>
        </is>
      </c>
      <c r="J105" t="inlineStr">
        <is>
          <t xml:space="preserve">7 videos</t>
        </is>
      </c>
      <c r="K105" s="2" t="str">
        <f>HYPERLINK("https://www.youtube.com/playlist?list=PLy6eszntaztPTlkEVss3fPSPd0mpJ72pV","https://www.youtube.com/playlist?list=PLy6eszntaztPTlkEVss3fPSPd0mpJ72pV")</f>
        <v>https://www.youtube.com/playlist?list=PLy6eszntaztPTlkEVss3fPSPd0mpJ72pV</v>
      </c>
      <c r="L105" t="inlineStr">
        <is>
          <t xml:space="preserve">Playlist | View full playlist</t>
        </is>
      </c>
      <c r="M105" t="inlineStr">
        <is>
          <t xml:space="preserve">power automate full course ; power automate project ; power automate real world project ; power automate cloud flow tutorial ; power apps power automate project ; power automate course ; power automate project hindi</t>
        </is>
      </c>
    </row>
    <row r="106">
      <c r="A106" s="3">
        <v>105</v>
      </c>
      <c r="B106" t="inlineStr">
        <is>
          <t xml:space="preserve">Playlist</t>
        </is>
      </c>
      <c r="C106" t="inlineStr">
        <is>
          <t xml:space="preserve">English</t>
        </is>
      </c>
      <c r="D106" t="inlineStr">
        <is>
          <t xml:space="preserve">Project / Use case</t>
        </is>
      </c>
      <c r="E106" t="inlineStr">
        <is>
          <t xml:space="preserve">Approvals, Power Apps</t>
        </is>
      </c>
      <c r="F106" t="inlineStr">
        <is>
          <t xml:space="preserve">Power Automate (flows)</t>
        </is>
      </c>
      <c r="G106" t="inlineStr">
        <is>
          <t xml:space="preserve">Reza Dorrani</t>
        </is>
      </c>
      <c r="H106" t="inlineStr">
        <is>
          <t xml:space="preserve"/>
        </is>
      </c>
      <c r="I106" t="inlineStr">
        <is>
          <t xml:space="preserve"/>
        </is>
      </c>
      <c r="J106" t="inlineStr">
        <is>
          <t xml:space="preserve">110 videos</t>
        </is>
      </c>
      <c r="K106" s="2" t="str">
        <f>HYPERLINK("https://www.youtube.com/playlist?list=PLTyFh-qDKAiEs0rhQuR7fwSv5_63FHr_0","https://www.youtube.com/playlist?list=PLTyFh-qDKAiEs0rhQuR7fwSv5_63FHr_0")</f>
        <v>https://www.youtube.com/playlist?list=PLTyFh-qDKAiEs0rhQuR7fwSv5_63FHr_0</v>
      </c>
      <c r="L106" t="inlineStr">
        <is>
          <t xml:space="preserve">Playlist | Power Apps Approval Request Screen + Multi-Step Approval Workflow 🚀 · 26:13 | Build a Power App + Power Automate Approval Flow in 15 Minutes with MCP · 18:44 | View full playlist | Welcome to the world of "Power Automate"! This playlist is your go-to resource for mastering the art of aut</t>
        </is>
      </c>
      <c r="M106" t="inlineStr">
        <is>
          <t xml:space="preserve">power automate full course ; power automate project ; power automate real world project ; power automate cloud flow tutorial ; power automate advanced tutorial ; power apps power automate project ; power automate course ; power automate tutorial playlist</t>
        </is>
      </c>
    </row>
    <row r="107">
      <c r="A107" s="3">
        <v>106</v>
      </c>
      <c r="B107" t="inlineStr">
        <is>
          <t xml:space="preserve">Playlist</t>
        </is>
      </c>
      <c r="C107" t="inlineStr">
        <is>
          <t xml:space="preserve">English</t>
        </is>
      </c>
      <c r="D107" t="inlineStr">
        <is>
          <t xml:space="preserve">Project / Use case</t>
        </is>
      </c>
      <c r="E107" t="inlineStr">
        <is>
          <t xml:space="preserve">Desktop/RPA, Web automation</t>
        </is>
      </c>
      <c r="F107" t="inlineStr">
        <is>
          <t xml:space="preserve">Power Automate Desktop : Projects</t>
        </is>
      </c>
      <c r="G107" t="inlineStr">
        <is>
          <t xml:space="preserve">Learn RPA &amp; AI Technologies every day</t>
        </is>
      </c>
      <c r="H107" t="inlineStr">
        <is>
          <t xml:space="preserve"/>
        </is>
      </c>
      <c r="I107" t="inlineStr">
        <is>
          <t xml:space="preserve"/>
        </is>
      </c>
      <c r="J107" t="inlineStr">
        <is>
          <t xml:space="preserve">43 videos</t>
        </is>
      </c>
      <c r="K107" s="2" t="str">
        <f>HYPERLINK("https://www.youtube.com/playlist?list=PLZVSOFwGx4zDtjaiP_7LG42AjrcoKFvWs","https://www.youtube.com/playlist?list=PLZVSOFwGx4zDtjaiP_7LG42AjrcoKFvWs")</f>
        <v>https://www.youtube.com/playlist?list=PLZVSOFwGx4zDtjaiP_7LG42AjrcoKFvWs</v>
      </c>
      <c r="L107" t="inlineStr">
        <is>
          <t xml:space="preserve">Playlist | Power Automate Desktop || Project #1 : HR Usecase - Employee Onboarding Process - Part 1 · 12:37 | Power Automate Desktop || Project #1 - Employee Onboarding Process - Web Automation - Part 2 · 12:02 | View full playlist</t>
        </is>
      </c>
      <c r="M107" t="inlineStr">
        <is>
          <t xml:space="preserve">power automate project ; power automate real world project ; power automate desktop full course ; power automate desktop project</t>
        </is>
      </c>
    </row>
    <row r="108">
      <c r="A108" s="3">
        <v>107</v>
      </c>
      <c r="B108" t="inlineStr">
        <is>
          <t xml:space="preserve">Playlist</t>
        </is>
      </c>
      <c r="C108" t="inlineStr">
        <is>
          <t xml:space="preserve">English</t>
        </is>
      </c>
      <c r="D108" t="inlineStr">
        <is>
          <t xml:space="preserve">Project / Use case</t>
        </is>
      </c>
      <c r="E108" t="inlineStr">
        <is>
          <t xml:space="preserve">Desktop/RPA, Excel, AI/Copilot, PDF, Web automation</t>
        </is>
      </c>
      <c r="F108" t="inlineStr">
        <is>
          <t xml:space="preserve">Power Automate Desktop Use Cases</t>
        </is>
      </c>
      <c r="G108" t="inlineStr">
        <is>
          <t xml:space="preserve">Anders Jensen</t>
        </is>
      </c>
      <c r="H108" t="inlineStr">
        <is>
          <t xml:space="preserve"/>
        </is>
      </c>
      <c r="I108" t="inlineStr">
        <is>
          <t xml:space="preserve"/>
        </is>
      </c>
      <c r="J108" t="inlineStr">
        <is>
          <t xml:space="preserve">9 videos</t>
        </is>
      </c>
      <c r="K108" s="2" t="str">
        <f>HYPERLINK("https://www.youtube.com/playlist?list=PLXXz88_TPiHqbQENjPjBkO3DSro06cAcb","https://www.youtube.com/playlist?list=PLXXz88_TPiHqbQENjPjBkO3DSro06cAcb")</f>
        <v>https://www.youtube.com/playlist?list=PLXXz88_TPiHqbQENjPjBkO3DSro06cAcb</v>
      </c>
      <c r="L108" t="inlineStr">
        <is>
          <t xml:space="preserve">Playlist | Updated today | Advanced Excel in Microsoft Power Automate Desktop - Use Case for Accountants · 1:00:52 | Save Web Data to Excel - Power Automate Desktop Advanced Use Case · 2:09:56 | View full playlist | Power Automate Desktop use cases: Advanced Excel for accountants, web data to Excel,</t>
        </is>
      </c>
      <c r="M108" t="inlineStr">
        <is>
          <t xml:space="preserve">power automate project ; power automate real world project ; power automate desktop project ; power automate advanced tutorial</t>
        </is>
      </c>
    </row>
    <row r="109">
      <c r="A109" s="3">
        <v>108</v>
      </c>
      <c r="B109" t="inlineStr">
        <is>
          <t xml:space="preserve">Playlist</t>
        </is>
      </c>
      <c r="C109" t="inlineStr">
        <is>
          <t xml:space="preserve">English</t>
        </is>
      </c>
      <c r="D109" t="inlineStr">
        <is>
          <t xml:space="preserve">Project / Use case</t>
        </is>
      </c>
      <c r="E109" t="inlineStr">
        <is>
          <t xml:space="preserve">Cloud flows, SharePoint, Email/Outlook, Teams, Forms</t>
        </is>
      </c>
      <c r="F109" t="inlineStr">
        <is>
          <t xml:space="preserve">Power Automate - Practical Use Cases</t>
        </is>
      </c>
      <c r="G109" t="inlineStr">
        <is>
          <t xml:space="preserve">Automate M365</t>
        </is>
      </c>
      <c r="H109" t="inlineStr">
        <is>
          <t xml:space="preserve"/>
        </is>
      </c>
      <c r="I109" t="inlineStr">
        <is>
          <t xml:space="preserve"/>
        </is>
      </c>
      <c r="J109" t="inlineStr">
        <is>
          <t xml:space="preserve">59 videos</t>
        </is>
      </c>
      <c r="K109" s="2" t="str">
        <f>HYPERLINK("https://www.youtube.com/playlist?list=PLiVyYzha0uI-uisfup29uphlDQmj1TvM6","https://www.youtube.com/playlist?list=PLiVyYzha0uI-uisfup29uphlDQmj1TvM6")</f>
        <v>https://www.youtube.com/playlist?list=PLiVyYzha0uI-uisfup29uphlDQmj1TvM6</v>
      </c>
      <c r="L109" t="inlineStr">
        <is>
          <t xml:space="preserve">Playlist | Updated 5 days ago | Send Emails to the Right Person from a SharePoint List | Power Automate Tutorial · 2:39 | How to Send SharePoint List Attachments via Outlook | Power Automate Tutorial · 4:43 | View full playlist | Discover practical Power Automate use cases to streamline your daily w</t>
        </is>
      </c>
      <c r="M109" t="inlineStr">
        <is>
          <t xml:space="preserve">power automate real world project ; power automate project</t>
        </is>
      </c>
    </row>
    <row r="110">
      <c r="A110" s="3">
        <v>109</v>
      </c>
      <c r="B110" t="inlineStr">
        <is>
          <t xml:space="preserve">Playlist</t>
        </is>
      </c>
      <c r="C110" t="inlineStr">
        <is>
          <t xml:space="preserve">English</t>
        </is>
      </c>
      <c r="D110" t="inlineStr">
        <is>
          <t xml:space="preserve">Project / Use case</t>
        </is>
      </c>
      <c r="E110" t="inlineStr">
        <is>
          <t xml:space="preserve">Desktop/RPA, Web automation</t>
        </is>
      </c>
      <c r="F110" t="inlineStr">
        <is>
          <t xml:space="preserve">Power Automate Desktop Tutorials: Streamline Your Workflow</t>
        </is>
      </c>
      <c r="G110" t="inlineStr">
        <is>
          <t xml:space="preserve">RPA Champion</t>
        </is>
      </c>
      <c r="H110" t="inlineStr">
        <is>
          <t xml:space="preserve"/>
        </is>
      </c>
      <c r="I110" t="inlineStr">
        <is>
          <t xml:space="preserve"/>
        </is>
      </c>
      <c r="J110" t="inlineStr">
        <is>
          <t xml:space="preserve">121 videos</t>
        </is>
      </c>
      <c r="K110" s="2" t="str">
        <f>HYPERLINK("https://www.youtube.com/playlist?list=PLrMkPhRNv7f10GarG4QwcAAwQQNMato1j","https://www.youtube.com/playlist?list=PLrMkPhRNv7f10GarG4QwcAAwQQNMato1j")</f>
        <v>https://www.youtube.com/playlist?list=PLrMkPhRNv7f10GarG4QwcAAwQQNMato1j</v>
      </c>
      <c r="L110" t="inlineStr">
        <is>
          <t xml:space="preserve">Playlist | 🤖 Microsoft Power Automate Desktop Tutorial - Getting Started Install &amp; Setup [DAY 1] · 10:10 | 🤖 Microsoft Power Automate Desktop Tutorial - How to create your first desktop flow [DAY 2] · 13:16 | View full playlist | Welcome to "Power Automate Desktop Tutorials: Streamline Your Workfl</t>
        </is>
      </c>
      <c r="M110" t="inlineStr">
        <is>
          <t xml:space="preserve">power automate desktop full course</t>
        </is>
      </c>
    </row>
    <row r="111">
      <c r="A111" s="3">
        <v>110</v>
      </c>
      <c r="B111" t="inlineStr">
        <is>
          <t xml:space="preserve">Playlist</t>
        </is>
      </c>
      <c r="C111" t="inlineStr">
        <is>
          <t xml:space="preserve">English</t>
        </is>
      </c>
      <c r="D111" t="inlineStr">
        <is>
          <t xml:space="preserve">Project / Use case</t>
        </is>
      </c>
      <c r="E111" t="inlineStr">
        <is>
          <t xml:space="preserve">SharePoint, Approvals, Power Apps</t>
        </is>
      </c>
      <c r="F111" t="inlineStr">
        <is>
          <t xml:space="preserve">Power Apps &amp; Power Automate Integration</t>
        </is>
      </c>
      <c r="G111" t="inlineStr">
        <is>
          <t xml:space="preserve">Reza Dorrani</t>
        </is>
      </c>
      <c r="H111" t="inlineStr">
        <is>
          <t xml:space="preserve"/>
        </is>
      </c>
      <c r="I111" t="inlineStr">
        <is>
          <t xml:space="preserve"/>
        </is>
      </c>
      <c r="J111" t="inlineStr">
        <is>
          <t xml:space="preserve">21 videos</t>
        </is>
      </c>
      <c r="K111" s="2" t="str">
        <f>HYPERLINK("https://www.youtube.com/playlist?list=PLTyFh-qDKAiE8Cl15mz1wMNz2nUbgXFGU","https://www.youtube.com/playlist?list=PLTyFh-qDKAiE8Cl15mz1wMNz2nUbgXFGU")</f>
        <v>https://www.youtube.com/playlist?list=PLTyFh-qDKAiE8Cl15mz1wMNz2nUbgXFGU</v>
      </c>
      <c r="L111" t="inlineStr">
        <is>
          <t xml:space="preserve">Playlist | Build a Power App + Power Automate Approval Flow in 15 Minutes with MCP · 18:44 | UPLOAD files from Power Apps to SharePoint Document Library ➕ Set Properties · 21:38 | View full playlist</t>
        </is>
      </c>
      <c r="M111" t="inlineStr">
        <is>
          <t xml:space="preserve">power automate sharepoint automation ; power apps power automate project</t>
        </is>
      </c>
    </row>
    <row r="112">
      <c r="A112" s="3">
        <v>111</v>
      </c>
      <c r="B112" t="inlineStr">
        <is>
          <t xml:space="preserve">Playlist</t>
        </is>
      </c>
      <c r="C112" t="inlineStr">
        <is>
          <t xml:space="preserve">English</t>
        </is>
      </c>
      <c r="D112" t="inlineStr">
        <is>
          <t xml:space="preserve">Project / Use case</t>
        </is>
      </c>
      <c r="E112" t="inlineStr">
        <is>
          <t xml:space="preserve">Desktop/RPA, Excel, Web automation</t>
        </is>
      </c>
      <c r="F112" t="inlineStr">
        <is>
          <t xml:space="preserve">power automate excel to web form</t>
        </is>
      </c>
      <c r="G112" t="inlineStr">
        <is>
          <t xml:space="preserve">Stephen Vernon</t>
        </is>
      </c>
      <c r="H112" t="inlineStr">
        <is>
          <t xml:space="preserve"/>
        </is>
      </c>
      <c r="I112" t="inlineStr">
        <is>
          <t xml:space="preserve"/>
        </is>
      </c>
      <c r="J112" t="inlineStr">
        <is>
          <t xml:space="preserve">7 videos</t>
        </is>
      </c>
      <c r="K112" s="2" t="str">
        <f>HYPERLINK("https://www.youtube.com/playlist?list=PLYYipGc8xXbub7JTVjgVP1ApdXgQD7EXd","https://www.youtube.com/playlist?list=PLYYipGc8xXbub7JTVjgVP1ApdXgQD7EXd")</f>
        <v>https://www.youtube.com/playlist?list=PLYYipGc8xXbub7JTVjgVP1ApdXgQD7EXd</v>
      </c>
      <c r="L112" t="inlineStr">
        <is>
          <t xml:space="preserve">Playlist | Power Automate Deskop - How To Fill Data From Excel To Web Form (Full Tutorial) · 19:29 | Power Automate Desktop : Data Entry Project with Web Form Filling Actions &amp; Excel Automation · 14:02 | View full playlist</t>
        </is>
      </c>
      <c r="M112" t="inlineStr">
        <is>
          <t xml:space="preserve">power automate excel automation ; power automate hindi</t>
        </is>
      </c>
    </row>
    <row r="113">
      <c r="A113" s="3">
        <v>112</v>
      </c>
      <c r="B113" t="inlineStr">
        <is>
          <t xml:space="preserve">Playlist</t>
        </is>
      </c>
      <c r="C113" t="inlineStr">
        <is>
          <t xml:space="preserve">English</t>
        </is>
      </c>
      <c r="D113" t="inlineStr">
        <is>
          <t xml:space="preserve">Project / Use case</t>
        </is>
      </c>
      <c r="E113" t="inlineStr">
        <is>
          <t xml:space="preserve">Desktop/RPA, AI/Copilot</t>
        </is>
      </c>
      <c r="F113" t="inlineStr">
        <is>
          <t xml:space="preserve">PL-500: Microsoft Power Automate RPA Developer</t>
        </is>
      </c>
      <c r="G113" t="inlineStr">
        <is>
          <t xml:space="preserve">Anders Jensen</t>
        </is>
      </c>
      <c r="H113" t="inlineStr">
        <is>
          <t xml:space="preserve"/>
        </is>
      </c>
      <c r="I113" t="inlineStr">
        <is>
          <t xml:space="preserve"/>
        </is>
      </c>
      <c r="J113" t="inlineStr">
        <is>
          <t xml:space="preserve">6 videos</t>
        </is>
      </c>
      <c r="K113" s="2" t="str">
        <f>HYPERLINK("https://www.youtube.com/playlist?list=PLXXz88_TPiHrnu0itj7At0K-xEZyl2XNr","https://www.youtube.com/playlist?list=PLXXz88_TPiHrnu0itj7At0K-xEZyl2XNr")</f>
        <v>https://www.youtube.com/playlist?list=PLXXz88_TPiHrnu0itj7At0K-xEZyl2XNr</v>
      </c>
      <c r="L113" t="inlineStr">
        <is>
          <t xml:space="preserve">Playlist | Updated today | How to Install the Contoso Invoicing Application · 4:04 | Advanced Error and Exception Handling in Power Automate Desktop - Complete Tutorial · 46:08 | View full playlist | Practical exercises for the PL-500 Microsoft Power Automate RPA Developer exam: The Contoso Invoicin</t>
        </is>
      </c>
      <c r="M113" t="inlineStr">
        <is>
          <t xml:space="preserve">PL-500 power automate RPA developer</t>
        </is>
      </c>
    </row>
    <row r="114">
      <c r="A114" s="3">
        <v>113</v>
      </c>
      <c r="B114" t="inlineStr">
        <is>
          <t xml:space="preserve">Playlist</t>
        </is>
      </c>
      <c r="C114" t="inlineStr">
        <is>
          <t xml:space="preserve">English</t>
        </is>
      </c>
      <c r="D114" t="inlineStr">
        <is>
          <t xml:space="preserve">Project / Use case</t>
        </is>
      </c>
      <c r="E114" t="inlineStr">
        <is>
          <t xml:space="preserve">Cloud flows, Approvals</t>
        </is>
      </c>
      <c r="F114" t="inlineStr">
        <is>
          <t xml:space="preserve">Power Automate Interview Questions (With Real Scenarios)</t>
        </is>
      </c>
      <c r="G114" t="inlineStr">
        <is>
          <t xml:space="preserve">CoyLix</t>
        </is>
      </c>
      <c r="H114" t="inlineStr">
        <is>
          <t xml:space="preserve"/>
        </is>
      </c>
      <c r="I114" t="inlineStr">
        <is>
          <t xml:space="preserve"/>
        </is>
      </c>
      <c r="J114" t="inlineStr">
        <is>
          <t xml:space="preserve">8 videos</t>
        </is>
      </c>
      <c r="K114" s="2" t="str">
        <f>HYPERLINK("https://www.youtube.com/playlist?list=PLIgGRj_DudkhkYbf0Va8lRDOwAA2k_SuW","https://www.youtube.com/playlist?list=PLIgGRj_DudkhkYbf0Va8lRDOwAA2k_SuW")</f>
        <v>https://www.youtube.com/playlist?list=PLIgGRj_DudkhkYbf0Va8lRDOwAA2k_SuW</v>
      </c>
      <c r="L114" t="inlineStr">
        <is>
          <t xml:space="preserve">Playlist | Crack Your Next Power Automate Interview | 100+ Power Automate Interview Questions (2026) | CoyLix · 1:32:20 | Only 5% Score 15/15 | Power Automate Interview Questions &amp; Answers | CoyLix · 10:06 | View full playlist | Power Automate interview questions explained with real-world scenarios </t>
        </is>
      </c>
      <c r="M114" t="inlineStr">
        <is>
          <t xml:space="preserve">power automate interview questions</t>
        </is>
      </c>
    </row>
    <row r="115">
      <c r="A115" s="3">
        <v>114</v>
      </c>
      <c r="B115" t="inlineStr">
        <is>
          <t xml:space="preserve">Playlist</t>
        </is>
      </c>
      <c r="C115" t="inlineStr">
        <is>
          <t xml:space="preserve">English</t>
        </is>
      </c>
      <c r="D115" t="inlineStr">
        <is>
          <t xml:space="preserve">Project / Use case</t>
        </is>
      </c>
      <c r="E115" t="inlineStr">
        <is>
          <t xml:space="preserve">Power Apps, Forms</t>
        </is>
      </c>
      <c r="F115" t="inlineStr">
        <is>
          <t xml:space="preserve">Power Apps Interview Questions (Beginner to Advanced)</t>
        </is>
      </c>
      <c r="G115" t="inlineStr">
        <is>
          <t xml:space="preserve">CoyLix</t>
        </is>
      </c>
      <c r="H115" t="inlineStr">
        <is>
          <t xml:space="preserve"/>
        </is>
      </c>
      <c r="I115" t="inlineStr">
        <is>
          <t xml:space="preserve"/>
        </is>
      </c>
      <c r="J115" t="inlineStr">
        <is>
          <t xml:space="preserve">63 videos</t>
        </is>
      </c>
      <c r="K115" s="2" t="str">
        <f>HYPERLINK("https://www.youtube.com/playlist?list=PLIgGRj_Dudkh43KTifylsGqagytnwLl3v","https://www.youtube.com/playlist?list=PLIgGRj_Dudkh43KTifylsGqagytnwLl3v")</f>
        <v>https://www.youtube.com/playlist?list=PLIgGRj_Dudkh43KTifylsGqagytnwLl3v</v>
      </c>
      <c r="L115" t="inlineStr">
        <is>
          <t xml:space="preserve">Playlist | 125+ Power Apps Interview Questions That Will Get You HIRED (Full Mega Video) · 2:00:37 | The Only Power Apps Interview Guide You Need: 110+ Questions · 43:57 | View full playlist | Power Apps interview questions covering beginner to advanced topics with real-world examples and practical </t>
        </is>
      </c>
      <c r="M115" t="inlineStr">
        <is>
          <t xml:space="preserve">power automate interview questions</t>
        </is>
      </c>
    </row>
    <row r="116">
      <c r="A116" s="3">
        <v>115</v>
      </c>
      <c r="B116" t="inlineStr">
        <is>
          <t xml:space="preserve">Playlist</t>
        </is>
      </c>
      <c r="C116" t="inlineStr">
        <is>
          <t xml:space="preserve">English</t>
        </is>
      </c>
      <c r="D116" t="inlineStr">
        <is>
          <t xml:space="preserve">Project / Use case</t>
        </is>
      </c>
      <c r="E116" t="inlineStr">
        <is>
          <t xml:space="preserve">Power Apps</t>
        </is>
      </c>
      <c r="F116" t="inlineStr">
        <is>
          <t xml:space="preserve">Project Management App in Power Apps</t>
        </is>
      </c>
      <c r="G116" t="inlineStr">
        <is>
          <t xml:space="preserve">The Analyst Nik</t>
        </is>
      </c>
      <c r="H116" t="inlineStr">
        <is>
          <t xml:space="preserve"/>
        </is>
      </c>
      <c r="I116" t="inlineStr">
        <is>
          <t xml:space="preserve"/>
        </is>
      </c>
      <c r="J116" t="inlineStr">
        <is>
          <t xml:space="preserve">6 videos</t>
        </is>
      </c>
      <c r="K116" s="2" t="str">
        <f>HYPERLINK("https://www.youtube.com/playlist?list=PLqdX1lLexBLjWGgwPDpWZm7rjrMzWAZty","https://www.youtube.com/playlist?list=PLqdX1lLexBLjWGgwPDpWZm7rjrMzWAZty")</f>
        <v>https://www.youtube.com/playlist?list=PLqdX1lLexBLjWGgwPDpWZm7rjrMzWAZty</v>
      </c>
      <c r="L116" t="inlineStr">
        <is>
          <t xml:space="preserve">Playlist | Let's Build a Project Management Power App · 1:59:17 | Custom Filter Panel in Power Apps · 58:04 | View full playlist</t>
        </is>
      </c>
      <c r="M116" t="inlineStr">
        <is>
          <t xml:space="preserve">power apps power automate project</t>
        </is>
      </c>
    </row>
    <row r="117">
      <c r="A117" s="3">
        <v>116</v>
      </c>
      <c r="B117" t="inlineStr">
        <is>
          <t xml:space="preserve">Playlist</t>
        </is>
      </c>
      <c r="C117" t="inlineStr">
        <is>
          <t xml:space="preserve">English</t>
        </is>
      </c>
      <c r="D117" t="inlineStr">
        <is>
          <t xml:space="preserve">Project / Use case</t>
        </is>
      </c>
      <c r="E117" t="inlineStr">
        <is>
          <t xml:space="preserve">Power Apps, Dataverse</t>
        </is>
      </c>
      <c r="F117" t="inlineStr">
        <is>
          <t xml:space="preserve">Project Management App in Power Apps</t>
        </is>
      </c>
      <c r="G117" t="inlineStr">
        <is>
          <t xml:space="preserve">Apptomax</t>
        </is>
      </c>
      <c r="H117" t="inlineStr">
        <is>
          <t xml:space="preserve"/>
        </is>
      </c>
      <c r="I117" t="inlineStr">
        <is>
          <t xml:space="preserve"/>
        </is>
      </c>
      <c r="J117" t="inlineStr">
        <is>
          <t xml:space="preserve">8 videos</t>
        </is>
      </c>
      <c r="K117" s="2" t="str">
        <f>HYPERLINK("https://www.youtube.com/playlist?list=PL6hnAN50Ah3p-fHnn0H4hbgAOKzpTHTzq","https://www.youtube.com/playlist?list=PL6hnAN50Ah3p-fHnn0H4hbgAOKzpTHTzq")</f>
        <v>https://www.youtube.com/playlist?list=PL6hnAN50Ah3p-fHnn0H4hbgAOKzpTHTzq</v>
      </c>
      <c r="L117" t="inlineStr">
        <is>
          <t xml:space="preserve">Playlist | Project Management App in Power Apps – Part 1: Menu Screen | Full Template Available · 16:54 | Part 2: Build Project Management App | Dataverse Lookup + Navigation + Dashboard in PowerApps · 41:42 | View full playlist</t>
        </is>
      </c>
      <c r="M117" t="inlineStr">
        <is>
          <t xml:space="preserve">power apps power automate project</t>
        </is>
      </c>
    </row>
    <row r="118">
      <c r="A118" s="3">
        <v>117</v>
      </c>
      <c r="B118" t="inlineStr">
        <is>
          <t xml:space="preserve">Playlist</t>
        </is>
      </c>
      <c r="C118" t="inlineStr">
        <is>
          <t xml:space="preserve">English</t>
        </is>
      </c>
      <c r="D118" t="inlineStr">
        <is>
          <t xml:space="preserve">Project / Use case</t>
        </is>
      </c>
      <c r="E118" t="inlineStr">
        <is>
          <t xml:space="preserve">Excel, Power Apps</t>
        </is>
      </c>
      <c r="F118" t="inlineStr">
        <is>
          <t xml:space="preserve">Microsoft Power Apps Beginner Course - Full Step-by-Step Tutorial</t>
        </is>
      </c>
      <c r="G118" t="inlineStr">
        <is>
          <t xml:space="preserve">Rudimar | Microsoft MVP | Power Apps in English</t>
        </is>
      </c>
      <c r="H118" t="inlineStr">
        <is>
          <t xml:space="preserve"/>
        </is>
      </c>
      <c r="I118" t="inlineStr">
        <is>
          <t xml:space="preserve"/>
        </is>
      </c>
      <c r="J118" t="inlineStr">
        <is>
          <t xml:space="preserve">55 videos</t>
        </is>
      </c>
      <c r="K118" s="2" t="str">
        <f>HYPERLINK("https://www.youtube.com/playlist?list=PLJCcpEOSXzJToutT3VAhQzOcf13lKM569","https://www.youtube.com/playlist?list=PLJCcpEOSXzJToutT3VAhQzOcf13lKM569")</f>
        <v>https://www.youtube.com/playlist?list=PLJCcpEOSXzJToutT3VAhQzOcf13lKM569</v>
      </c>
      <c r="L118" t="inlineStr">
        <is>
          <t xml:space="preserve">Playlist | First Steps in Power Apps: A Beginner's Guide - Power Apps Canvas App Tutorial Series · 2:47 | Getting Started with Power Apps: How to Get Access &amp; Start Developing · 4:52 | View full playlist | In this Power Apps tutorial, designed for Microsoft Power Apps beginners, you’ll learn how to </t>
        </is>
      </c>
      <c r="M118" t="inlineStr">
        <is>
          <t xml:space="preserve">power apps power automate project</t>
        </is>
      </c>
    </row>
    <row r="119">
      <c r="A119" s="3">
        <v>118</v>
      </c>
      <c r="B119" t="inlineStr">
        <is>
          <t xml:space="preserve">Playlist</t>
        </is>
      </c>
      <c r="C119" t="inlineStr">
        <is>
          <t xml:space="preserve">English</t>
        </is>
      </c>
      <c r="D119" t="inlineStr">
        <is>
          <t xml:space="preserve">Project / Use case</t>
        </is>
      </c>
      <c r="E119" t="inlineStr">
        <is>
          <t xml:space="preserve">AI/Copilot, Power Apps</t>
        </is>
      </c>
      <c r="F119" t="inlineStr">
        <is>
          <t xml:space="preserve">PowerApps</t>
        </is>
      </c>
      <c r="G119" t="inlineStr">
        <is>
          <t xml:space="preserve">Swami Nawale</t>
        </is>
      </c>
      <c r="H119" t="inlineStr">
        <is>
          <t xml:space="preserve"/>
        </is>
      </c>
      <c r="I119" t="inlineStr">
        <is>
          <t xml:space="preserve"/>
        </is>
      </c>
      <c r="J119" t="inlineStr">
        <is>
          <t xml:space="preserve">52 videos</t>
        </is>
      </c>
      <c r="K119" s="2" t="str">
        <f>HYPERLINK("https://www.youtube.com/playlist?list=PL3DonZvLYAD2Wwzqn9dZ7seNtcsOdrOhj","https://www.youtube.com/playlist?list=PL3DonZvLYAD2Wwzqn9dZ7seNtcsOdrOhj")</f>
        <v>https://www.youtube.com/playlist?list=PL3DonZvLYAD2Wwzqn9dZ7seNtcsOdrOhj</v>
      </c>
      <c r="L119" t="inlineStr">
        <is>
          <t xml:space="preserve">Playlist | PowerApps Inspection App with AI Photo Analysis · 6:33 | Claude Code For Power Apps: Prototype Before You Build · 29:20 | View full playlist | This playlist contains solution-focused videos built using Power Apps. You’ll see real-world app demos, practical use cases, and design patterns.T</t>
        </is>
      </c>
      <c r="M119" t="inlineStr">
        <is>
          <t xml:space="preserve">power apps power automate project</t>
        </is>
      </c>
    </row>
    <row r="120">
      <c r="A120" s="3">
        <v>119</v>
      </c>
      <c r="B120" t="inlineStr">
        <is>
          <t xml:space="preserve">Playlist</t>
        </is>
      </c>
      <c r="C120" t="inlineStr">
        <is>
          <t xml:space="preserve">English</t>
        </is>
      </c>
      <c r="D120" t="inlineStr">
        <is>
          <t xml:space="preserve">Project / Use case</t>
        </is>
      </c>
      <c r="E120" t="inlineStr">
        <is>
          <t xml:space="preserve"/>
        </is>
      </c>
      <c r="F120" t="inlineStr">
        <is>
          <t xml:space="preserve">✔️Get &amp; Visualize Project &amp; Task Data</t>
        </is>
      </c>
      <c r="G120" t="inlineStr">
        <is>
          <t xml:space="preserve">Christine Payton</t>
        </is>
      </c>
      <c r="H120" t="inlineStr">
        <is>
          <t xml:space="preserve"/>
        </is>
      </c>
      <c r="I120" t="inlineStr">
        <is>
          <t xml:space="preserve"/>
        </is>
      </c>
      <c r="J120" t="inlineStr">
        <is>
          <t xml:space="preserve">14 videos</t>
        </is>
      </c>
      <c r="K120" s="2" t="str">
        <f>HYPERLINK("https://www.youtube.com/playlist?list=PLVWnQj3YS9wvbJves79UWCQLTMNXcviy_","https://www.youtube.com/playlist?list=PLVWnQj3YS9wvbJves79UWCQLTMNXcviy_")</f>
        <v>https://www.youtube.com/playlist?list=PLVWnQj3YS9wvbJves79UWCQLTMNXcviy_</v>
      </c>
      <c r="L120" t="inlineStr">
        <is>
          <t xml:space="preserve">Playlist | Get Planner Task Details with Power Automate - Assignees, subtasks, buckets, dates! · 19:33 | Report on Planner Data in Power BI · 20:49 | View full playlist | Always challenge in Power BI, right?</t>
        </is>
      </c>
      <c r="M120" t="inlineStr">
        <is>
          <t xml:space="preserve">power automate project</t>
        </is>
      </c>
    </row>
    <row r="121">
      <c r="A121" s="3">
        <v>120</v>
      </c>
      <c r="B121" t="inlineStr">
        <is>
          <t xml:space="preserve">Video</t>
        </is>
      </c>
      <c r="C121" t="inlineStr">
        <is>
          <t xml:space="preserve">English</t>
        </is>
      </c>
      <c r="D121" t="inlineStr">
        <is>
          <t xml:space="preserve">Certification</t>
        </is>
      </c>
      <c r="E121" t="inlineStr">
        <is>
          <t xml:space="preserve"/>
        </is>
      </c>
      <c r="F121" t="inlineStr">
        <is>
          <t xml:space="preserve">PL-900 Microsoft Power Platform Fundamentals Study Cram</t>
        </is>
      </c>
      <c r="G121" t="inlineStr">
        <is>
          <t xml:space="preserve">John Savill's Technical Training</t>
        </is>
      </c>
      <c r="H121" s="3">
        <v>181295</v>
      </c>
      <c r="I121" t="inlineStr">
        <is>
          <t xml:space="preserve">5y ago</t>
        </is>
      </c>
      <c r="J121" t="inlineStr">
        <is>
          <t xml:space="preserve">1:06:42</t>
        </is>
      </c>
      <c r="K121" s="2" t="str">
        <f>HYPERLINK("https://www.youtube.com/watch?v=lbPHM-MiEUA","https://www.youtube.com/watch?v=lbPHM-MiEUA")</f>
        <v>https://www.youtube.com/watch?v=lbPHM-MiEUA</v>
      </c>
      <c r="L121" t="inlineStr">
        <is>
          <t xml:space="preserve">Some hints and tips on passing the PL-900 exam for the Power Platform Fundamentals certification. Whiteboard ...</t>
        </is>
      </c>
      <c r="M121" t="inlineStr">
        <is>
          <t xml:space="preserve">PL-900 power platform</t>
        </is>
      </c>
    </row>
    <row r="122">
      <c r="A122" s="3">
        <v>121</v>
      </c>
      <c r="B122" t="inlineStr">
        <is>
          <t xml:space="preserve">Video</t>
        </is>
      </c>
      <c r="C122" t="inlineStr">
        <is>
          <t xml:space="preserve">English</t>
        </is>
      </c>
      <c r="D122" t="inlineStr">
        <is>
          <t xml:space="preserve">Certification</t>
        </is>
      </c>
      <c r="E122" t="inlineStr">
        <is>
          <t xml:space="preserve">AI/Copilot</t>
        </is>
      </c>
      <c r="F122" t="inlineStr">
        <is>
          <t xml:space="preserve">Business value of Microsoft Power Platform in the age of AI | PL-900 | Episode 1</t>
        </is>
      </c>
      <c r="G122" t="inlineStr">
        <is>
          <t xml:space="preserve">Microsoft Learn</t>
        </is>
      </c>
      <c r="H122" s="3">
        <v>37825</v>
      </c>
      <c r="I122" t="inlineStr">
        <is>
          <t xml:space="preserve">9mo ago</t>
        </is>
      </c>
      <c r="J122" t="inlineStr">
        <is>
          <t xml:space="preserve">43:28</t>
        </is>
      </c>
      <c r="K122" s="2" t="str">
        <f>HYPERLINK("https://www.youtube.com/watch?v=fPuU_NXcQJY","https://www.youtube.com/watch?v=fPuU_NXcQJY")</f>
        <v>https://www.youtube.com/watch?v=fPuU_NXcQJY</v>
      </c>
      <c r="L122" t="inlineStr">
        <is>
          <t xml:space="preserve">Episode 1 of 6 For the full video series, click here: https://aka.ms/PL-900onYouTube In this video, you'll explore the business ...</t>
        </is>
      </c>
      <c r="M122" t="inlineStr">
        <is>
          <t xml:space="preserve">PL-900 power platform</t>
        </is>
      </c>
    </row>
    <row r="123">
      <c r="A123" s="3">
        <v>122</v>
      </c>
      <c r="B123" t="inlineStr">
        <is>
          <t xml:space="preserve">Video</t>
        </is>
      </c>
      <c r="C123" t="inlineStr">
        <is>
          <t xml:space="preserve">English</t>
        </is>
      </c>
      <c r="D123" t="inlineStr">
        <is>
          <t xml:space="preserve">Certification</t>
        </is>
      </c>
      <c r="E123" t="inlineStr">
        <is>
          <t xml:space="preserve"/>
        </is>
      </c>
      <c r="F123" t="inlineStr">
        <is>
          <t xml:space="preserve">10 Power Automate Examples You NEED to See</t>
        </is>
      </c>
      <c r="G123" t="inlineStr">
        <is>
          <t xml:space="preserve">SharePoint Dougie</t>
        </is>
      </c>
      <c r="H123" s="3">
        <v>31595</v>
      </c>
      <c r="I123" t="inlineStr">
        <is>
          <t xml:space="preserve">2y ago</t>
        </is>
      </c>
      <c r="J123" t="inlineStr">
        <is>
          <t xml:space="preserve">24:34</t>
        </is>
      </c>
      <c r="K123" s="2" t="str">
        <f>HYPERLINK("https://www.youtube.com/watch?v=fSnjL4h3knY","https://www.youtube.com/watch?v=fSnjL4h3knY")</f>
        <v>https://www.youtube.com/watch?v=fSnjL4h3knY</v>
      </c>
      <c r="L123" t="inlineStr">
        <is>
          <t xml:space="preserve">Welcome to "Power Automate Examples Explained" Need a Consultant? Contact https://www.taskm.co.uk/contact-us our ...</t>
        </is>
      </c>
      <c r="M123" t="inlineStr">
        <is>
          <t xml:space="preserve">power automate real world project</t>
        </is>
      </c>
    </row>
    <row r="124">
      <c r="A124" s="3">
        <v>123</v>
      </c>
      <c r="B124" t="inlineStr">
        <is>
          <t xml:space="preserve">Video</t>
        </is>
      </c>
      <c r="C124" t="inlineStr">
        <is>
          <t xml:space="preserve">English</t>
        </is>
      </c>
      <c r="D124" t="inlineStr">
        <is>
          <t xml:space="preserve">Certification</t>
        </is>
      </c>
      <c r="E124" t="inlineStr">
        <is>
          <t xml:space="preserve">Desktop/RPA</t>
        </is>
      </c>
      <c r="F124" t="inlineStr">
        <is>
          <t xml:space="preserve">Microsoft Certified Power Automate RPA Developer Associate certification (PL-500) Beta</t>
        </is>
      </c>
      <c r="G124" t="inlineStr">
        <is>
          <t xml:space="preserve">Learn RPA &amp; AI Technologies every day</t>
        </is>
      </c>
      <c r="H124" s="3">
        <v>15445</v>
      </c>
      <c r="I124" t="inlineStr">
        <is>
          <t xml:space="preserve">4y ago</t>
        </is>
      </c>
      <c r="J124" t="inlineStr">
        <is>
          <t xml:space="preserve">6:07</t>
        </is>
      </c>
      <c r="K124" s="2" t="str">
        <f>HYPERLINK("https://www.youtube.com/watch?v=KkYRq8DaCx4","https://www.youtube.com/watch?v=KkYRq8DaCx4")</f>
        <v>https://www.youtube.com/watch?v=KkYRq8DaCx4</v>
      </c>
      <c r="L124" t="inlineStr">
        <is>
          <t xml:space="preserve">PL-500 #Associatecertification #PowerAutomate #MicrosoftPowerAutomate #MicrosoftPowerAutomateDesktop ...</t>
        </is>
      </c>
      <c r="M124" t="inlineStr">
        <is>
          <t xml:space="preserve">PL-500 power automate RPA developer</t>
        </is>
      </c>
    </row>
    <row r="125">
      <c r="A125" s="3">
        <v>124</v>
      </c>
      <c r="B125" t="inlineStr">
        <is>
          <t xml:space="preserve">Video</t>
        </is>
      </c>
      <c r="C125" t="inlineStr">
        <is>
          <t xml:space="preserve">English</t>
        </is>
      </c>
      <c r="D125" t="inlineStr">
        <is>
          <t xml:space="preserve">Certification</t>
        </is>
      </c>
      <c r="E125" t="inlineStr">
        <is>
          <t xml:space="preserve"/>
        </is>
      </c>
      <c r="F125" t="inlineStr">
        <is>
          <t xml:space="preserve">How I Passed the Microsoft PL-900 Exam in a Week and a Half</t>
        </is>
      </c>
      <c r="G125" t="inlineStr">
        <is>
          <t xml:space="preserve">Jessica</t>
        </is>
      </c>
      <c r="H125" s="3">
        <v>9858</v>
      </c>
      <c r="I125" t="inlineStr">
        <is>
          <t xml:space="preserve">1y ago</t>
        </is>
      </c>
      <c r="J125" t="inlineStr">
        <is>
          <t xml:space="preserve">10:25</t>
        </is>
      </c>
      <c r="K125" s="2" t="str">
        <f>HYPERLINK("https://www.youtube.com/watch?v=UM6ojXIW4aw","https://www.youtube.com/watch?v=UM6ojXIW4aw")</f>
        <v>https://www.youtube.com/watch?v=UM6ojXIW4aw</v>
      </c>
      <c r="L125" t="inlineStr">
        <is>
          <t xml:space="preserve">In this video, I'll be sharing how I was able to study for the PL-900 and pass in a week and a half. All the resources mentioned in ...</t>
        </is>
      </c>
      <c r="M125" t="inlineStr">
        <is>
          <t xml:space="preserve">PL-900 power platform</t>
        </is>
      </c>
    </row>
    <row r="126">
      <c r="A126" s="3">
        <v>125</v>
      </c>
      <c r="B126" t="inlineStr">
        <is>
          <t xml:space="preserve">Video</t>
        </is>
      </c>
      <c r="C126" t="inlineStr">
        <is>
          <t xml:space="preserve">English</t>
        </is>
      </c>
      <c r="D126" t="inlineStr">
        <is>
          <t xml:space="preserve">Certification</t>
        </is>
      </c>
      <c r="E126" t="inlineStr">
        <is>
          <t xml:space="preserve">Desktop/RPA</t>
        </is>
      </c>
      <c r="F126" t="inlineStr">
        <is>
          <t xml:space="preserve">How to pass the RPA Microsoft Power Automate PL-500 Exam? (FAQ) | PL500 Exam</t>
        </is>
      </c>
      <c r="G126" t="inlineStr">
        <is>
          <t xml:space="preserve">EmergenTeck</t>
        </is>
      </c>
      <c r="H126" s="3">
        <v>8583</v>
      </c>
      <c r="I126" t="inlineStr">
        <is>
          <t xml:space="preserve">3y ago</t>
        </is>
      </c>
      <c r="J126" t="inlineStr">
        <is>
          <t xml:space="preserve">11:38</t>
        </is>
      </c>
      <c r="K126" s="2" t="str">
        <f>HYPERLINK("https://www.youtube.com/watch?v=Xq-PRN-AedE","https://www.youtube.com/watch?v=Xq-PRN-AedE")</f>
        <v>https://www.youtube.com/watch?v=Xq-PRN-AedE</v>
      </c>
      <c r="L126" t="inlineStr">
        <is>
          <t xml:space="preserve">How to pass the RPA Microsoft Power Automate PL-500 Exam? (FAQ) In this video, we provide you with all the essential ...</t>
        </is>
      </c>
      <c r="M126" t="inlineStr">
        <is>
          <t xml:space="preserve">PL-500 power automate RPA developer</t>
        </is>
      </c>
    </row>
    <row r="127">
      <c r="A127" s="3">
        <v>126</v>
      </c>
      <c r="B127" t="inlineStr">
        <is>
          <t xml:space="preserve">Video</t>
        </is>
      </c>
      <c r="C127" t="inlineStr">
        <is>
          <t xml:space="preserve">English</t>
        </is>
      </c>
      <c r="D127" t="inlineStr">
        <is>
          <t xml:space="preserve">Certification</t>
        </is>
      </c>
      <c r="E127" t="inlineStr">
        <is>
          <t xml:space="preserve">Desktop/RPA</t>
        </is>
      </c>
      <c r="F127" t="inlineStr">
        <is>
          <t xml:space="preserve">✅ How I Cleared PL-500 Power Automate Exam || Real Exam Questions || My Preparation Strategy</t>
        </is>
      </c>
      <c r="G127" t="inlineStr">
        <is>
          <t xml:space="preserve">KT Sessions</t>
        </is>
      </c>
      <c r="H127" s="3">
        <v>4133</v>
      </c>
      <c r="I127" t="inlineStr">
        <is>
          <t xml:space="preserve">1y ago</t>
        </is>
      </c>
      <c r="J127" t="inlineStr">
        <is>
          <t xml:space="preserve">36:36</t>
        </is>
      </c>
      <c r="K127" s="2" t="str">
        <f>HYPERLINK("https://www.youtube.com/watch?v=JRLvneW1psY","https://www.youtube.com/watch?v=JRLvneW1psY")</f>
        <v>https://www.youtube.com/watch?v=JRLvneW1psY</v>
      </c>
      <c r="L127" t="inlineStr">
        <is>
          <t xml:space="preserve">My step-by-step journey of clearing the PL-500: Power Automate RPA Developer Associate Exam — even if you're just getting ...</t>
        </is>
      </c>
      <c r="M127" t="inlineStr">
        <is>
          <t xml:space="preserve">PL-500 power automate RPA developer</t>
        </is>
      </c>
    </row>
    <row r="128">
      <c r="A128" s="3">
        <v>127</v>
      </c>
      <c r="B128" t="inlineStr">
        <is>
          <t xml:space="preserve">Video</t>
        </is>
      </c>
      <c r="C128" t="inlineStr">
        <is>
          <t xml:space="preserve">English</t>
        </is>
      </c>
      <c r="D128" t="inlineStr">
        <is>
          <t xml:space="preserve">Certification</t>
        </is>
      </c>
      <c r="E128" t="inlineStr">
        <is>
          <t xml:space="preserve">SharePoint</t>
        </is>
      </c>
      <c r="F128" t="inlineStr">
        <is>
          <t xml:space="preserve">3 Ways to Automate SharePoint Site Creation: Flow Tutorial with Demos</t>
        </is>
      </c>
      <c r="G128" t="inlineStr">
        <is>
          <t xml:space="preserve">Laura Rogers, Microsoft MVP</t>
        </is>
      </c>
      <c r="H128" s="3">
        <v>3939</v>
      </c>
      <c r="I128" t="inlineStr">
        <is>
          <t xml:space="preserve">Streamed 1y ago</t>
        </is>
      </c>
      <c r="J128" t="inlineStr">
        <is>
          <t xml:space="preserve">56:46</t>
        </is>
      </c>
      <c r="K128" s="2" t="str">
        <f>HYPERLINK("https://www.youtube.com/watch?v=HZvsXS_gzFc","https://www.youtube.com/watch?v=HZvsXS_gzFc")</f>
        <v>https://www.youtube.com/watch?v=HZvsXS_gzFc</v>
      </c>
      <c r="L128" t="inlineStr">
        <is>
          <t xml:space="preserve">Learn several different ways of creating a flow that generates a new SharePoint site. Here are three examples. The first flow ...</t>
        </is>
      </c>
      <c r="M128" t="inlineStr">
        <is>
          <t xml:space="preserve">power automate sharepoint automation</t>
        </is>
      </c>
    </row>
    <row r="129">
      <c r="A129" s="3">
        <v>128</v>
      </c>
      <c r="B129" t="inlineStr">
        <is>
          <t xml:space="preserve">Video</t>
        </is>
      </c>
      <c r="C129" t="inlineStr">
        <is>
          <t xml:space="preserve">English</t>
        </is>
      </c>
      <c r="D129" t="inlineStr">
        <is>
          <t xml:space="preserve">Certification</t>
        </is>
      </c>
      <c r="E129" t="inlineStr">
        <is>
          <t xml:space="preserve">Desktop/RPA, Excel</t>
        </is>
      </c>
      <c r="F129" t="inlineStr">
        <is>
          <t xml:space="preserve">Automate Boring Excel Work with Power Automate Desktop</t>
        </is>
      </c>
      <c r="G129" t="inlineStr">
        <is>
          <t xml:space="preserve">Anders Jensen</t>
        </is>
      </c>
      <c r="H129" s="3">
        <v>3877</v>
      </c>
      <c r="I129" t="inlineStr">
        <is>
          <t xml:space="preserve">4mo ago</t>
        </is>
      </c>
      <c r="J129" t="inlineStr">
        <is>
          <t xml:space="preserve">52:15</t>
        </is>
      </c>
      <c r="K129" s="2" t="str">
        <f>HYPERLINK("https://www.youtube.com/watch?v=t3NwpIe8ZRk","https://www.youtube.com/watch?v=t3NwpIe8ZRk")</f>
        <v>https://www.youtube.com/watch?v=t3NwpIe8ZRk</v>
      </c>
      <c r="L129" t="inlineStr">
        <is>
          <t xml:space="preserve">In this Power Automate Desktop tutorial, you will learn how to automate boring Excel work using a real business example. We built ...</t>
        </is>
      </c>
      <c r="M129" t="inlineStr">
        <is>
          <t xml:space="preserve">power automate excel automation</t>
        </is>
      </c>
    </row>
    <row r="130">
      <c r="A130" s="3">
        <v>129</v>
      </c>
      <c r="B130" t="inlineStr">
        <is>
          <t xml:space="preserve">Video</t>
        </is>
      </c>
      <c r="C130" t="inlineStr">
        <is>
          <t xml:space="preserve">English</t>
        </is>
      </c>
      <c r="D130" t="inlineStr">
        <is>
          <t xml:space="preserve">Certification</t>
        </is>
      </c>
      <c r="E130" t="inlineStr">
        <is>
          <t xml:space="preserve">Desktop/RPA, PDF</t>
        </is>
      </c>
      <c r="F130" t="inlineStr">
        <is>
          <t xml:space="preserve">🚀 Cracked the PL-500 Exam in Just 4 Hours! | Microsoft Power Automate RPA Developer | Complete Guide</t>
        </is>
      </c>
      <c r="G130" t="inlineStr">
        <is>
          <t xml:space="preserve">DeepDumps</t>
        </is>
      </c>
      <c r="H130" s="3">
        <v>3560</v>
      </c>
      <c r="I130" t="inlineStr">
        <is>
          <t xml:space="preserve">1y ago</t>
        </is>
      </c>
      <c r="J130" t="inlineStr">
        <is>
          <t xml:space="preserve">22:55</t>
        </is>
      </c>
      <c r="K130" s="2" t="str">
        <f>HYPERLINK("https://www.youtube.com/watch?v=lhHvuhZr2II","https://www.youtube.com/watch?v=lhHvuhZr2II")</f>
        <v>https://www.youtube.com/watch?v=lhHvuhZr2II</v>
      </c>
      <c r="L130" t="inlineStr">
        <is>
          <t xml:space="preserve">Direct PDF Link: https://examheist.com/papers/microsoft/pl-500/1 Get instant access to the ultimate study resource for the Microsoft ...</t>
        </is>
      </c>
      <c r="M130" t="inlineStr">
        <is>
          <t xml:space="preserve">PL-500 power automate RPA developer</t>
        </is>
      </c>
    </row>
    <row r="131">
      <c r="A131" s="3">
        <v>130</v>
      </c>
      <c r="B131" t="inlineStr">
        <is>
          <t xml:space="preserve">Video</t>
        </is>
      </c>
      <c r="C131" t="inlineStr">
        <is>
          <t xml:space="preserve">English</t>
        </is>
      </c>
      <c r="D131" t="inlineStr">
        <is>
          <t xml:space="preserve">Certification</t>
        </is>
      </c>
      <c r="E131" t="inlineStr">
        <is>
          <t xml:space="preserve">Desktop/RPA</t>
        </is>
      </c>
      <c r="F131" t="inlineStr">
        <is>
          <t xml:space="preserve">Microsoft Certified Power Automate RPA Developer Associate Exam PL-500 Practice Question and Answers</t>
        </is>
      </c>
      <c r="G131" t="inlineStr">
        <is>
          <t xml:space="preserve">Tech With Shapingpixel</t>
        </is>
      </c>
      <c r="H131" s="3">
        <v>2822</v>
      </c>
      <c r="I131" t="inlineStr">
        <is>
          <t xml:space="preserve">1y ago</t>
        </is>
      </c>
      <c r="J131" t="inlineStr">
        <is>
          <t xml:space="preserve">3:00:39</t>
        </is>
      </c>
      <c r="K131" s="2" t="str">
        <f>HYPERLINK("https://www.youtube.com/watch?v=rqG4EeMkzzM","https://www.youtube.com/watch?v=rqG4EeMkzzM")</f>
        <v>https://www.youtube.com/watch?v=rqG4EeMkzzM</v>
      </c>
      <c r="L131" t="inlineStr">
        <is>
          <t xml:space="preserve">Join Our YouTube Channel Membership – Elevate Your Learning Experience! Unlock exclusive benefits and take your IT ...</t>
        </is>
      </c>
      <c r="M131" t="inlineStr">
        <is>
          <t xml:space="preserve">PL-500 power automate RPA developer</t>
        </is>
      </c>
    </row>
    <row r="132">
      <c r="A132" s="3">
        <v>131</v>
      </c>
      <c r="B132" t="inlineStr">
        <is>
          <t xml:space="preserve">Video</t>
        </is>
      </c>
      <c r="C132" t="inlineStr">
        <is>
          <t xml:space="preserve">English</t>
        </is>
      </c>
      <c r="D132" t="inlineStr">
        <is>
          <t xml:space="preserve">Certification</t>
        </is>
      </c>
      <c r="E132" t="inlineStr">
        <is>
          <t xml:space="preserve">Desktop/RPA</t>
        </is>
      </c>
      <c r="F132" t="inlineStr">
        <is>
          <t xml:space="preserve">PL-500: Microsoft Power Automate RPA Developer Free Full Practice Exam #pl500</t>
        </is>
      </c>
      <c r="G132" t="inlineStr">
        <is>
          <t xml:space="preserve">Exam Tests</t>
        </is>
      </c>
      <c r="H132" s="3">
        <v>909</v>
      </c>
      <c r="I132" t="inlineStr">
        <is>
          <t xml:space="preserve">2y ago</t>
        </is>
      </c>
      <c r="J132" t="inlineStr">
        <is>
          <t xml:space="preserve">51:58</t>
        </is>
      </c>
      <c r="K132" s="2" t="str">
        <f>HYPERLINK("https://www.youtube.com/watch?v=PErnUy3SKfU","https://www.youtube.com/watch?v=PErnUy3SKfU")</f>
        <v>https://www.youtube.com/watch?v=PErnUy3SKfU</v>
      </c>
      <c r="L132" t="inlineStr">
        <is>
          <t xml:space="preserve">Free, Actual and Latest Practice Test for those who are preparing for PL-500: Microsoft Power Automate RPA Developer #pl500 ...</t>
        </is>
      </c>
      <c r="M132" t="inlineStr">
        <is>
          <t xml:space="preserve">PL-500 power automate RPA developer</t>
        </is>
      </c>
    </row>
    <row r="133">
      <c r="A133" s="3">
        <v>132</v>
      </c>
      <c r="B133" t="inlineStr">
        <is>
          <t xml:space="preserve">Video</t>
        </is>
      </c>
      <c r="C133" t="inlineStr">
        <is>
          <t xml:space="preserve">English</t>
        </is>
      </c>
      <c r="D133" t="inlineStr">
        <is>
          <t xml:space="preserve">Certification</t>
        </is>
      </c>
      <c r="E133" t="inlineStr">
        <is>
          <t xml:space="preserve">Desktop/RPA</t>
        </is>
      </c>
      <c r="F133" t="inlineStr">
        <is>
          <t xml:space="preserve">Exam PL-500: Microsoft Power Automate RPA Developer</t>
        </is>
      </c>
      <c r="G133" t="inlineStr">
        <is>
          <t xml:space="preserve">CertsWarrior</t>
        </is>
      </c>
      <c r="H133" s="3">
        <v>433</v>
      </c>
      <c r="I133" t="inlineStr">
        <is>
          <t xml:space="preserve">3y ago</t>
        </is>
      </c>
      <c r="J133" t="inlineStr">
        <is>
          <t xml:space="preserve">1:07</t>
        </is>
      </c>
      <c r="K133" s="2" t="str">
        <f>HYPERLINK("https://www.youtube.com/watch?v=fFiFbYPNKM8","https://www.youtube.com/watch?v=fFiFbYPNKM8")</f>
        <v>https://www.youtube.com/watch?v=fFiFbYPNKM8</v>
      </c>
      <c r="L133" t="inlineStr">
        <is>
          <t xml:space="preserve">exam #code #PL500 #designing #microsoft #Power #Automate #RPA #Developer #azure #infrastructure #solutions #questions ...</t>
        </is>
      </c>
      <c r="M133" t="inlineStr">
        <is>
          <t xml:space="preserve">PL-500 power automate RPA developer</t>
        </is>
      </c>
    </row>
    <row r="134">
      <c r="A134" s="3">
        <v>133</v>
      </c>
      <c r="B134" t="inlineStr">
        <is>
          <t xml:space="preserve">Video</t>
        </is>
      </c>
      <c r="C134" t="inlineStr">
        <is>
          <t xml:space="preserve">English</t>
        </is>
      </c>
      <c r="D134" t="inlineStr">
        <is>
          <t xml:space="preserve">Certification</t>
        </is>
      </c>
      <c r="E134" t="inlineStr">
        <is>
          <t xml:space="preserve">Desktop/RPA</t>
        </is>
      </c>
      <c r="F134" t="inlineStr">
        <is>
          <t xml:space="preserve">How I Cracked Microsoft PL-500 Exam in 1 Day | Power Automate RPA Developer Questions + Explanations</t>
        </is>
      </c>
      <c r="G134" t="inlineStr">
        <is>
          <t xml:space="preserve">S4E Exam Prep Hub</t>
        </is>
      </c>
      <c r="H134" s="3">
        <v>235</v>
      </c>
      <c r="I134" t="inlineStr">
        <is>
          <t xml:space="preserve">6mo ago</t>
        </is>
      </c>
      <c r="J134" t="inlineStr">
        <is>
          <t xml:space="preserve">9:32</t>
        </is>
      </c>
      <c r="K134" s="2" t="str">
        <f>HYPERLINK("https://www.youtube.com/watch?v=7zVq-c6_Gq4","https://www.youtube.com/watch?v=7zVq-c6_Gq4")</f>
        <v>https://www.youtube.com/watch?v=7zVq-c6_Gq4</v>
      </c>
      <c r="L134" t="inlineStr">
        <is>
          <t xml:space="preserve">PL500 #PowerAutomate #MicrosoftCertification #education #itcertification #exam #exampreparation Download Full PL-500 ...</t>
        </is>
      </c>
      <c r="M134" t="inlineStr">
        <is>
          <t xml:space="preserve">PL-500 power automate RPA developer</t>
        </is>
      </c>
    </row>
    <row r="135">
      <c r="A135" s="3">
        <v>134</v>
      </c>
      <c r="B135" t="inlineStr">
        <is>
          <t xml:space="preserve">Video</t>
        </is>
      </c>
      <c r="C135" t="inlineStr">
        <is>
          <t xml:space="preserve">English</t>
        </is>
      </c>
      <c r="D135" t="inlineStr">
        <is>
          <t xml:space="preserve">Certification</t>
        </is>
      </c>
      <c r="E135" t="inlineStr">
        <is>
          <t xml:space="preserve">Desktop/RPA</t>
        </is>
      </c>
      <c r="F135" t="inlineStr">
        <is>
          <t xml:space="preserve">Microsoft PL-500 Practice Questions | Power Automate RPA Developer Exam Questions &amp; Answers</t>
        </is>
      </c>
      <c r="G135" t="inlineStr">
        <is>
          <t xml:space="preserve">P4S Exam Prep</t>
        </is>
      </c>
      <c r="H135" s="3">
        <v>178</v>
      </c>
      <c r="I135" t="inlineStr">
        <is>
          <t xml:space="preserve">7mo ago</t>
        </is>
      </c>
      <c r="J135" t="inlineStr">
        <is>
          <t xml:space="preserve">10:30</t>
        </is>
      </c>
      <c r="K135" s="2" t="str">
        <f>HYPERLINK("https://www.youtube.com/watch?v=w3yoPNGll58","https://www.youtube.com/watch?v=w3yoPNGll58")</f>
        <v>https://www.youtube.com/watch?v=w3yoPNGll58</v>
      </c>
      <c r="L135" t="inlineStr">
        <is>
          <t xml:space="preserve">Preparing for the Microsoft Power Automate RPA Developer (PL-500) exam? This video gives you 10 real-style practice questions ...</t>
        </is>
      </c>
      <c r="M135" t="inlineStr">
        <is>
          <t xml:space="preserve">PL-500 power automate RPA developer</t>
        </is>
      </c>
    </row>
    <row r="136">
      <c r="A136" s="3">
        <v>135</v>
      </c>
      <c r="B136" t="inlineStr">
        <is>
          <t xml:space="preserve">Video</t>
        </is>
      </c>
      <c r="C136" t="inlineStr">
        <is>
          <t xml:space="preserve">English</t>
        </is>
      </c>
      <c r="D136" t="inlineStr">
        <is>
          <t xml:space="preserve">Certification</t>
        </is>
      </c>
      <c r="E136" t="inlineStr">
        <is>
          <t xml:space="preserve"/>
        </is>
      </c>
      <c r="F136" t="inlineStr">
        <is>
          <t xml:space="preserve">Latest Exam Prep - Microsoft PL-900 Power Platform Fundamentals - Getting Started</t>
        </is>
      </c>
      <c r="G136" t="inlineStr">
        <is>
          <t xml:space="preserve">TechElevate MD</t>
        </is>
      </c>
      <c r="H136" s="3">
        <v>141</v>
      </c>
      <c r="I136" t="inlineStr">
        <is>
          <t xml:space="preserve">8mo ago</t>
        </is>
      </c>
      <c r="J136" t="inlineStr">
        <is>
          <t xml:space="preserve">6:17</t>
        </is>
      </c>
      <c r="K136" s="2" t="str">
        <f>HYPERLINK("https://www.youtube.com/watch?v=d-_LmmPBWUQ","https://www.youtube.com/watch?v=d-_LmmPBWUQ")</f>
        <v>https://www.youtube.com/watch?v=d-_LmmPBWUQ</v>
      </c>
      <c r="L136" t="inlineStr">
        <is>
          <t xml:space="preserve">This beginner-friendly video introduces the core concepts you need to understand before taking the PL-900 certification exam.</t>
        </is>
      </c>
      <c r="M136" t="inlineStr">
        <is>
          <t xml:space="preserve">PL-900 power platform</t>
        </is>
      </c>
    </row>
    <row r="137">
      <c r="A137" s="3">
        <v>136</v>
      </c>
      <c r="B137" t="inlineStr">
        <is>
          <t xml:space="preserve">Video</t>
        </is>
      </c>
      <c r="C137" t="inlineStr">
        <is>
          <t xml:space="preserve">English</t>
        </is>
      </c>
      <c r="D137" t="inlineStr">
        <is>
          <t xml:space="preserve">Certification</t>
        </is>
      </c>
      <c r="E137" t="inlineStr">
        <is>
          <t xml:space="preserve">Desktop/RPA</t>
        </is>
      </c>
      <c r="F137" t="inlineStr">
        <is>
          <t xml:space="preserve">PL-500 Certification Exam - Master RPA with Power Automate</t>
        </is>
      </c>
      <c r="G137" t="inlineStr">
        <is>
          <t xml:space="preserve">ExamsEmpire</t>
        </is>
      </c>
      <c r="H137" s="3">
        <v>80</v>
      </c>
      <c r="I137" t="inlineStr">
        <is>
          <t xml:space="preserve">1y ago</t>
        </is>
      </c>
      <c r="J137" t="inlineStr">
        <is>
          <t xml:space="preserve">1:02</t>
        </is>
      </c>
      <c r="K137" s="2" t="str">
        <f>HYPERLINK("https://www.youtube.com/watch?v=21uNw_b9YNQ","https://www.youtube.com/watch?v=21uNw_b9YNQ")</f>
        <v>https://www.youtube.com/watch?v=21uNw_b9YNQ</v>
      </c>
      <c r="L137" t="inlineStr">
        <is>
          <t xml:space="preserve">Join our PL-500 Certification Exam channel for expert tips, study guides, and practice resources to help you master robotic ...</t>
        </is>
      </c>
      <c r="M137" t="inlineStr">
        <is>
          <t xml:space="preserve">PL-500 power automate RPA developer</t>
        </is>
      </c>
    </row>
    <row r="138">
      <c r="A138" s="3">
        <v>137</v>
      </c>
      <c r="B138" t="inlineStr">
        <is>
          <t xml:space="preserve">Video</t>
        </is>
      </c>
      <c r="C138" t="inlineStr">
        <is>
          <t xml:space="preserve">English</t>
        </is>
      </c>
      <c r="D138" t="inlineStr">
        <is>
          <t xml:space="preserve">Certification</t>
        </is>
      </c>
      <c r="E138" t="inlineStr">
        <is>
          <t xml:space="preserve">Desktop/RPA</t>
        </is>
      </c>
      <c r="F138" t="inlineStr">
        <is>
          <t xml:space="preserve">PL-500 Exam Readiness for Power Automate RPA Professionals</t>
        </is>
      </c>
      <c r="G138" t="inlineStr">
        <is>
          <t xml:space="preserve">Koenig Solutions</t>
        </is>
      </c>
      <c r="H138" s="3">
        <v>79</v>
      </c>
      <c r="I138" t="inlineStr">
        <is>
          <t xml:space="preserve">Streamed 4mo ago</t>
        </is>
      </c>
      <c r="J138" t="inlineStr">
        <is>
          <t xml:space="preserve">1:16:51</t>
        </is>
      </c>
      <c r="K138" s="2" t="str">
        <f>HYPERLINK("https://www.youtube.com/watch?v=WIM4CC7T9Ts","https://www.youtube.com/watch?v=WIM4CC7T9Ts")</f>
        <v>https://www.youtube.com/watch?v=WIM4CC7T9Ts</v>
      </c>
      <c r="L138" t="inlineStr">
        <is>
          <t xml:space="preserve">PL-500 Exam Readiness for Power Automate RPA Professionals May 20 · 11 PM IST – Set Reminder ▶️ Robotic Process ...</t>
        </is>
      </c>
      <c r="M138" t="inlineStr">
        <is>
          <t xml:space="preserve">PL-500 power automate RPA developer</t>
        </is>
      </c>
    </row>
    <row r="139">
      <c r="A139" s="3">
        <v>138</v>
      </c>
      <c r="B139" t="inlineStr">
        <is>
          <t xml:space="preserve">Video</t>
        </is>
      </c>
      <c r="C139" t="inlineStr">
        <is>
          <t xml:space="preserve">English</t>
        </is>
      </c>
      <c r="D139" t="inlineStr">
        <is>
          <t xml:space="preserve">Certification</t>
        </is>
      </c>
      <c r="E139" t="inlineStr">
        <is>
          <t xml:space="preserve">Desktop/RPA</t>
        </is>
      </c>
      <c r="F139" t="inlineStr">
        <is>
          <t xml:space="preserve">PL 500T00 Microsoft Power Automate RPA Developer</t>
        </is>
      </c>
      <c r="G139" t="inlineStr">
        <is>
          <t xml:space="preserve">Esamatic srl</t>
        </is>
      </c>
      <c r="H139" s="3">
        <v>41</v>
      </c>
      <c r="I139" t="inlineStr">
        <is>
          <t xml:space="preserve">2y ago</t>
        </is>
      </c>
      <c r="J139" t="inlineStr">
        <is>
          <t xml:space="preserve">0:51</t>
        </is>
      </c>
      <c r="K139" s="2" t="str">
        <f>HYPERLINK("https://www.youtube.com/watch?v=pZ7z3jhjuKA","https://www.youtube.com/watch?v=pZ7z3jhjuKA")</f>
        <v>https://www.youtube.com/watch?v=pZ7z3jhjuKA</v>
      </c>
      <c r="L139" t="inlineStr">
        <is>
          <t xml:space="preserve">Unlock the Power of Automation with PL-500T00: Microsoft Power Automate RPA Developer Are you ready to supercharge ...</t>
        </is>
      </c>
      <c r="M139" t="inlineStr">
        <is>
          <t xml:space="preserve">PL-500 power automate RPA developer</t>
        </is>
      </c>
    </row>
    <row r="140">
      <c r="A140" s="3">
        <v>139</v>
      </c>
      <c r="B140" t="inlineStr">
        <is>
          <t xml:space="preserve">Video</t>
        </is>
      </c>
      <c r="C140" t="inlineStr">
        <is>
          <t xml:space="preserve">English</t>
        </is>
      </c>
      <c r="D140" t="inlineStr">
        <is>
          <t xml:space="preserve">Interview prep</t>
        </is>
      </c>
      <c r="E140" t="inlineStr">
        <is>
          <t xml:space="preserve"/>
        </is>
      </c>
      <c r="F140" t="inlineStr">
        <is>
          <t xml:space="preserve">Power Automate Interview Questions And Answers 2025 | MS Power Automate Interview Questions</t>
        </is>
      </c>
      <c r="G140" t="inlineStr">
        <is>
          <t xml:space="preserve">MindMajix</t>
        </is>
      </c>
      <c r="H140" s="3">
        <v>23276</v>
      </c>
      <c r="I140" t="inlineStr">
        <is>
          <t xml:space="preserve">4y ago</t>
        </is>
      </c>
      <c r="J140" t="inlineStr">
        <is>
          <t xml:space="preserve">21:19</t>
        </is>
      </c>
      <c r="K140" s="2" t="str">
        <f>HYPERLINK("https://www.youtube.com/watch?v=Hv5yqRTIkCI","https://www.youtube.com/watch?v=Hv5yqRTIkCI")</f>
        <v>https://www.youtube.com/watch?v=Hv5yqRTIkCI</v>
      </c>
      <c r="L140" t="inlineStr">
        <is>
          <t xml:space="preserve">This MindMajix video on Power Automate Interview Questions and Answers video includes all the frequently asked Interview ...</t>
        </is>
      </c>
      <c r="M140" t="inlineStr">
        <is>
          <t xml:space="preserve">power automate interview questions</t>
        </is>
      </c>
    </row>
    <row r="141">
      <c r="A141" s="3">
        <v>140</v>
      </c>
      <c r="B141" t="inlineStr">
        <is>
          <t xml:space="preserve">Video</t>
        </is>
      </c>
      <c r="C141" t="inlineStr">
        <is>
          <t xml:space="preserve">English</t>
        </is>
      </c>
      <c r="D141" t="inlineStr">
        <is>
          <t xml:space="preserve">Interview prep</t>
        </is>
      </c>
      <c r="E141" t="inlineStr">
        <is>
          <t xml:space="preserve"/>
        </is>
      </c>
      <c r="F141" t="inlineStr">
        <is>
          <t xml:space="preserve">Top 20 Middle Power Automate interview questions</t>
        </is>
      </c>
      <c r="G141" t="inlineStr">
        <is>
          <t xml:space="preserve">Less Code Hub</t>
        </is>
      </c>
      <c r="H141" s="3">
        <v>8568</v>
      </c>
      <c r="I141" t="inlineStr">
        <is>
          <t xml:space="preserve">3y ago</t>
        </is>
      </c>
      <c r="J141" t="inlineStr">
        <is>
          <t xml:space="preserve">8:11</t>
        </is>
      </c>
      <c r="K141" s="2" t="str">
        <f>HYPERLINK("https://www.youtube.com/watch?v=c8Ox5FR7lDs","https://www.youtube.com/watch?v=c8Ox5FR7lDs")</f>
        <v>https://www.youtube.com/watch?v=c8Ox5FR7lDs</v>
      </c>
      <c r="L141" t="inlineStr">
        <is>
          <t xml:space="preserve">1. How can I use Power Automate to integrate with an API? 2. How can I set up a flow to trigger based on a specific value in a ...</t>
        </is>
      </c>
      <c r="M141" t="inlineStr">
        <is>
          <t xml:space="preserve">power automate interview questions</t>
        </is>
      </c>
    </row>
    <row r="142">
      <c r="A142" s="3">
        <v>141</v>
      </c>
      <c r="B142" t="inlineStr">
        <is>
          <t xml:space="preserve">Video</t>
        </is>
      </c>
      <c r="C142" t="inlineStr">
        <is>
          <t xml:space="preserve">English</t>
        </is>
      </c>
      <c r="D142" t="inlineStr">
        <is>
          <t xml:space="preserve">Interview prep</t>
        </is>
      </c>
      <c r="E142" t="inlineStr">
        <is>
          <t xml:space="preserve"/>
        </is>
      </c>
      <c r="F142" t="inlineStr">
        <is>
          <t xml:space="preserve">Power Automate Interview Questions</t>
        </is>
      </c>
      <c r="G142" t="inlineStr">
        <is>
          <t xml:space="preserve">Ravindra Jadhav</t>
        </is>
      </c>
      <c r="H142" s="3">
        <v>6237</v>
      </c>
      <c r="I142" t="inlineStr">
        <is>
          <t xml:space="preserve">2y ago</t>
        </is>
      </c>
      <c r="J142" t="inlineStr">
        <is>
          <t xml:space="preserve">8:31</t>
        </is>
      </c>
      <c r="K142" s="2" t="str">
        <f>HYPERLINK("https://www.youtube.com/watch?v=K8iGMIeMVqQ","https://www.youtube.com/watch?v=K8iGMIeMVqQ")</f>
        <v>https://www.youtube.com/watch?v=K8iGMIeMVqQ</v>
      </c>
      <c r="L142" t="inlineStr">
        <is>
          <t xml:space="preserve">Top Power Automate Interview Questions and Answers Power Automate Interview Prep: Essential Questions and Tips Ace Your ...</t>
        </is>
      </c>
      <c r="M142" t="inlineStr">
        <is>
          <t xml:space="preserve">power automate interview questions</t>
        </is>
      </c>
    </row>
    <row r="143">
      <c r="A143" s="3">
        <v>142</v>
      </c>
      <c r="B143" t="inlineStr">
        <is>
          <t xml:space="preserve">Video</t>
        </is>
      </c>
      <c r="C143" t="inlineStr">
        <is>
          <t xml:space="preserve">English</t>
        </is>
      </c>
      <c r="D143" t="inlineStr">
        <is>
          <t xml:space="preserve">Interview prep</t>
        </is>
      </c>
      <c r="E143" t="inlineStr">
        <is>
          <t xml:space="preserve">Cloud flows</t>
        </is>
      </c>
      <c r="F143" t="inlineStr">
        <is>
          <t xml:space="preserve">Power Automate Cloud Interview Questions 2025</t>
        </is>
      </c>
      <c r="G143" t="inlineStr">
        <is>
          <t xml:space="preserve">Ravindra Jadhav</t>
        </is>
      </c>
      <c r="H143" s="3">
        <v>6153</v>
      </c>
      <c r="I143" t="inlineStr">
        <is>
          <t xml:space="preserve">1y ago</t>
        </is>
      </c>
      <c r="J143" t="inlineStr">
        <is>
          <t xml:space="preserve">10:46</t>
        </is>
      </c>
      <c r="K143" s="2" t="str">
        <f>HYPERLINK("https://www.youtube.com/watch?v=21gYGKw_7lc","https://www.youtube.com/watch?v=21gYGKw_7lc")</f>
        <v>https://www.youtube.com/watch?v=21gYGKw_7lc</v>
      </c>
      <c r="L143" t="inlineStr">
        <is>
          <t xml:space="preserve">Power Automate Cloud Interview Questions 2025 1. What is Power Automate? 2. What are the main types of flows in Power ...</t>
        </is>
      </c>
      <c r="M143" t="inlineStr">
        <is>
          <t xml:space="preserve">power automate interview questions</t>
        </is>
      </c>
    </row>
    <row r="144">
      <c r="A144" s="3">
        <v>143</v>
      </c>
      <c r="B144" t="inlineStr">
        <is>
          <t xml:space="preserve">Video</t>
        </is>
      </c>
      <c r="C144" t="inlineStr">
        <is>
          <t xml:space="preserve">English</t>
        </is>
      </c>
      <c r="D144" t="inlineStr">
        <is>
          <t xml:space="preserve">Interview prep</t>
        </is>
      </c>
      <c r="E144" t="inlineStr">
        <is>
          <t xml:space="preserve"/>
        </is>
      </c>
      <c r="F144" t="inlineStr">
        <is>
          <t xml:space="preserve">Crack Your Next Power Automate Interview | 100+ Power Automate Interview Questions (2026) | CoyLix</t>
        </is>
      </c>
      <c r="G144" t="inlineStr">
        <is>
          <t xml:space="preserve">CoyLix</t>
        </is>
      </c>
      <c r="H144" s="3">
        <v>5033</v>
      </c>
      <c r="I144" t="inlineStr">
        <is>
          <t xml:space="preserve">3mo ago</t>
        </is>
      </c>
      <c r="J144" t="inlineStr">
        <is>
          <t xml:space="preserve">1:32:20</t>
        </is>
      </c>
      <c r="K144" s="2" t="str">
        <f>HYPERLINK("https://www.youtube.com/watch?v=O8eP9HSABN0","https://www.youtube.com/watch?v=O8eP9HSABN0")</f>
        <v>https://www.youtube.com/watch?v=O8eP9HSABN0</v>
      </c>
      <c r="L144" t="inlineStr">
        <is>
          <t xml:space="preserve">100+ Power Automate Interview Questions and Answers | Complete Power Automate Interview Preparation Preparing for a Power ...</t>
        </is>
      </c>
      <c r="M144" t="inlineStr">
        <is>
          <t xml:space="preserve">power automate interview questions</t>
        </is>
      </c>
    </row>
    <row r="145">
      <c r="A145" s="3">
        <v>144</v>
      </c>
      <c r="B145" t="inlineStr">
        <is>
          <t xml:space="preserve">Video</t>
        </is>
      </c>
      <c r="C145" t="inlineStr">
        <is>
          <t xml:space="preserve">English</t>
        </is>
      </c>
      <c r="D145" t="inlineStr">
        <is>
          <t xml:space="preserve">Interview prep</t>
        </is>
      </c>
      <c r="E145" t="inlineStr">
        <is>
          <t xml:space="preserve">Power Apps</t>
        </is>
      </c>
      <c r="F145" t="inlineStr">
        <is>
          <t xml:space="preserve">Only 5% of People Can Answer These Power Automate Interview Questions!</t>
        </is>
      </c>
      <c r="G145" t="inlineStr">
        <is>
          <t xml:space="preserve">CoyLix</t>
        </is>
      </c>
      <c r="H145" s="3">
        <v>2636</v>
      </c>
      <c r="I145" t="inlineStr">
        <is>
          <t xml:space="preserve">11mo ago</t>
        </is>
      </c>
      <c r="J145" t="inlineStr">
        <is>
          <t xml:space="preserve">12:23</t>
        </is>
      </c>
      <c r="K145" s="2" t="str">
        <f>HYPERLINK("https://www.youtube.com/watch?v=n2HHrTwCajU","https://www.youtube.com/watch?v=n2HHrTwCajU")</f>
        <v>https://www.youtube.com/watch?v=n2HHrTwCajU</v>
      </c>
      <c r="L145" t="inlineStr">
        <is>
          <t xml:space="preserve">Prepare with 250+ Power Platform interview questions covering Power Apps and Power Automate.</t>
        </is>
      </c>
      <c r="M145" t="inlineStr">
        <is>
          <t xml:space="preserve">power automate interview questions</t>
        </is>
      </c>
    </row>
    <row r="146">
      <c r="A146" s="3">
        <v>145</v>
      </c>
      <c r="B146" t="inlineStr">
        <is>
          <t xml:space="preserve">Video</t>
        </is>
      </c>
      <c r="C146" t="inlineStr">
        <is>
          <t xml:space="preserve">English</t>
        </is>
      </c>
      <c r="D146" t="inlineStr">
        <is>
          <t xml:space="preserve">Interview prep</t>
        </is>
      </c>
      <c r="E146" t="inlineStr">
        <is>
          <t xml:space="preserve">Desktop/RPA</t>
        </is>
      </c>
      <c r="F146" t="inlineStr">
        <is>
          <t xml:space="preserve">Power Automate Interview Questions Part1 | Power Automate most asked Question for interviews.</t>
        </is>
      </c>
      <c r="G146" t="inlineStr">
        <is>
          <t xml:space="preserve">IAA - intelligent Advance Automations</t>
        </is>
      </c>
      <c r="H146" s="3">
        <v>2153</v>
      </c>
      <c r="I146" t="inlineStr">
        <is>
          <t xml:space="preserve">2y ago</t>
        </is>
      </c>
      <c r="J146" t="inlineStr">
        <is>
          <t xml:space="preserve">8:31</t>
        </is>
      </c>
      <c r="K146" s="2" t="str">
        <f>HYPERLINK("https://www.youtube.com/watch?v=_e4h7yiDuog","https://www.youtube.com/watch?v=_e4h7yiDuog")</f>
        <v>https://www.youtube.com/watch?v=_e4h7yiDuog</v>
      </c>
      <c r="L146" t="inlineStr">
        <is>
          <t xml:space="preserve">In this video we will see the question asked in interview for power automate. #cognizantjob #powerautomatedesktop #rpa ...</t>
        </is>
      </c>
      <c r="M146" t="inlineStr">
        <is>
          <t xml:space="preserve">power automate interview questions</t>
        </is>
      </c>
    </row>
    <row r="147">
      <c r="A147" s="3">
        <v>146</v>
      </c>
      <c r="B147" t="inlineStr">
        <is>
          <t xml:space="preserve">Video</t>
        </is>
      </c>
      <c r="C147" t="inlineStr">
        <is>
          <t xml:space="preserve">English</t>
        </is>
      </c>
      <c r="D147" t="inlineStr">
        <is>
          <t xml:space="preserve">Interview prep</t>
        </is>
      </c>
      <c r="E147" t="inlineStr">
        <is>
          <t xml:space="preserve">Power Apps</t>
        </is>
      </c>
      <c r="F147" t="inlineStr">
        <is>
          <t xml:space="preserve">Power Automate Interview Questions | Interview Questions Preparation for Power Automate.</t>
        </is>
      </c>
      <c r="G147" t="inlineStr">
        <is>
          <t xml:space="preserve">IAA - intelligent Advance Automations</t>
        </is>
      </c>
      <c r="H147" s="3">
        <v>2090</v>
      </c>
      <c r="I147" t="inlineStr">
        <is>
          <t xml:space="preserve">1y ago</t>
        </is>
      </c>
      <c r="J147" t="inlineStr">
        <is>
          <t xml:space="preserve">29:14</t>
        </is>
      </c>
      <c r="K147" s="2" t="str">
        <f>HYPERLINK("https://www.youtube.com/watch?v=I6bN327vs60","https://www.youtube.com/watch?v=I6bN327vs60")</f>
        <v>https://www.youtube.com/watch?v=I6bN327vs60</v>
      </c>
      <c r="L147" t="inlineStr">
        <is>
          <t xml:space="preserve">In this video we will see the recently asked interview questions related to power automate, power apps and power queries. 18:46 ...</t>
        </is>
      </c>
      <c r="M147" t="inlineStr">
        <is>
          <t xml:space="preserve">power automate interview questions</t>
        </is>
      </c>
    </row>
    <row r="148">
      <c r="A148" s="3">
        <v>147</v>
      </c>
      <c r="B148" t="inlineStr">
        <is>
          <t xml:space="preserve">Video</t>
        </is>
      </c>
      <c r="C148" t="inlineStr">
        <is>
          <t xml:space="preserve">English</t>
        </is>
      </c>
      <c r="D148" t="inlineStr">
        <is>
          <t xml:space="preserve">Interview prep</t>
        </is>
      </c>
      <c r="E148" t="inlineStr">
        <is>
          <t xml:space="preserve"/>
        </is>
      </c>
      <c r="F148" t="inlineStr">
        <is>
          <t xml:space="preserve">Can You Answer These 5 Power Automate Interview Questions (2025 Edition)?</t>
        </is>
      </c>
      <c r="G148" t="inlineStr">
        <is>
          <t xml:space="preserve">CoyLix</t>
        </is>
      </c>
      <c r="H148" s="3">
        <v>1891</v>
      </c>
      <c r="I148" t="inlineStr">
        <is>
          <t xml:space="preserve">11mo ago</t>
        </is>
      </c>
      <c r="J148" t="inlineStr">
        <is>
          <t xml:space="preserve">7:30</t>
        </is>
      </c>
      <c r="K148" s="2" t="str">
        <f>HYPERLINK("https://www.youtube.com/watch?v=-isFgaOotf4","https://www.youtube.com/watch?v=-isFgaOotf4")</f>
        <v>https://www.youtube.com/watch?v=-isFgaOotf4</v>
      </c>
      <c r="L148" t="inlineStr">
        <is>
          <t xml:space="preserve">Ace Your Power Automate Interview ...</t>
        </is>
      </c>
      <c r="M148" t="inlineStr">
        <is>
          <t xml:space="preserve">power automate interview questions</t>
        </is>
      </c>
    </row>
    <row r="149">
      <c r="A149" s="3">
        <v>148</v>
      </c>
      <c r="B149" t="inlineStr">
        <is>
          <t xml:space="preserve">Video</t>
        </is>
      </c>
      <c r="C149" t="inlineStr">
        <is>
          <t xml:space="preserve">English</t>
        </is>
      </c>
      <c r="D149" t="inlineStr">
        <is>
          <t xml:space="preserve">Interview prep</t>
        </is>
      </c>
      <c r="E149" t="inlineStr">
        <is>
          <t xml:space="preserve">Desktop/RPA, Cloud flows</t>
        </is>
      </c>
      <c r="F149" t="inlineStr">
        <is>
          <t xml:space="preserve">Power Automate Interview Question and Answers Updated 2026. #powerautomate  #rpa</t>
        </is>
      </c>
      <c r="G149" t="inlineStr">
        <is>
          <t xml:space="preserve">IAA - intelligent Advance Automations</t>
        </is>
      </c>
      <c r="H149" s="3">
        <v>1770</v>
      </c>
      <c r="I149" t="inlineStr">
        <is>
          <t xml:space="preserve">7mo ago</t>
        </is>
      </c>
      <c r="J149" t="inlineStr">
        <is>
          <t xml:space="preserve">37:46</t>
        </is>
      </c>
      <c r="K149" s="2" t="str">
        <f>HYPERLINK("https://www.youtube.com/watch?v=7yp0vp-YV5M","https://www.youtube.com/watch?v=7yp0vp-YV5M")</f>
        <v>https://www.youtube.com/watch?v=7yp0vp-YV5M</v>
      </c>
      <c r="L149" t="inlineStr">
        <is>
          <t xml:space="preserve">In this video we will see mostly and recently asked interview question for power automate cloud and desktop. Links Machine ...</t>
        </is>
      </c>
      <c r="M149" t="inlineStr">
        <is>
          <t xml:space="preserve">power automate interview questions</t>
        </is>
      </c>
    </row>
    <row r="150">
      <c r="A150" s="3">
        <v>149</v>
      </c>
      <c r="B150" t="inlineStr">
        <is>
          <t xml:space="preserve">Video</t>
        </is>
      </c>
      <c r="C150" t="inlineStr">
        <is>
          <t xml:space="preserve">English</t>
        </is>
      </c>
      <c r="D150" t="inlineStr">
        <is>
          <t xml:space="preserve">Interview prep</t>
        </is>
      </c>
      <c r="E150" t="inlineStr">
        <is>
          <t xml:space="preserve"/>
        </is>
      </c>
      <c r="F150" t="inlineStr">
        <is>
          <t xml:space="preserve">Top 5 Senior Power Automate interview questions</t>
        </is>
      </c>
      <c r="G150" t="inlineStr">
        <is>
          <t xml:space="preserve">Less Code Hub</t>
        </is>
      </c>
      <c r="H150" s="3">
        <v>1655</v>
      </c>
      <c r="I150" t="inlineStr">
        <is>
          <t xml:space="preserve">3y ago</t>
        </is>
      </c>
      <c r="J150" t="inlineStr">
        <is>
          <t xml:space="preserve">2:41</t>
        </is>
      </c>
      <c r="K150" s="2" t="str">
        <f>HYPERLINK("https://www.youtube.com/watch?v=zVtylJFOIkM","https://www.youtube.com/watch?v=zVtylJFOIkM")</f>
        <v>https://www.youtube.com/watch?v=zVtylJFOIkM</v>
      </c>
      <c r="L150" t="inlineStr">
        <is>
          <t xml:space="preserve">1. How can I use Power Automate to create a flow that can handle multiple parallel flows and coordinate their actions? 2. How can ...</t>
        </is>
      </c>
      <c r="M150" t="inlineStr">
        <is>
          <t xml:space="preserve">power automate interview questions</t>
        </is>
      </c>
    </row>
    <row r="151">
      <c r="A151" s="3">
        <v>150</v>
      </c>
      <c r="B151" t="inlineStr">
        <is>
          <t xml:space="preserve">Video</t>
        </is>
      </c>
      <c r="C151" t="inlineStr">
        <is>
          <t xml:space="preserve">English</t>
        </is>
      </c>
      <c r="D151" t="inlineStr">
        <is>
          <t xml:space="preserve">Interview prep</t>
        </is>
      </c>
      <c r="E151" t="inlineStr">
        <is>
          <t xml:space="preserve"/>
        </is>
      </c>
      <c r="F151" t="inlineStr">
        <is>
          <t xml:space="preserve">🚀 POWER AUTOMATE Interview Questions 2025 - Ace Your Next Tech Job! (Complete Guide)</t>
        </is>
      </c>
      <c r="G151" t="inlineStr">
        <is>
          <t xml:space="preserve">Ashok Babu Kandula</t>
        </is>
      </c>
      <c r="H151" s="3">
        <v>1169</v>
      </c>
      <c r="I151" t="inlineStr">
        <is>
          <t xml:space="preserve">1y ago</t>
        </is>
      </c>
      <c r="J151" t="inlineStr">
        <is>
          <t xml:space="preserve">8:41</t>
        </is>
      </c>
      <c r="K151" s="2" t="str">
        <f>HYPERLINK("https://www.youtube.com/watch?v=8PVILemTiFM","https://www.youtube.com/watch?v=8PVILemTiFM")</f>
        <v>https://www.youtube.com/watch?v=8PVILemTiFM</v>
      </c>
      <c r="L151" t="inlineStr">
        <is>
          <t xml:space="preserve">Ready to land your dream Power Automate job? This comprehensive guide covers the top interview questions and expert ...</t>
        </is>
      </c>
      <c r="M151" t="inlineStr">
        <is>
          <t xml:space="preserve">power automate interview questions</t>
        </is>
      </c>
    </row>
    <row r="152">
      <c r="A152" s="3">
        <v>151</v>
      </c>
      <c r="B152" t="inlineStr">
        <is>
          <t xml:space="preserve">Video</t>
        </is>
      </c>
      <c r="C152" t="inlineStr">
        <is>
          <t xml:space="preserve">English</t>
        </is>
      </c>
      <c r="D152" t="inlineStr">
        <is>
          <t xml:space="preserve">Interview prep</t>
        </is>
      </c>
      <c r="E152" t="inlineStr">
        <is>
          <t xml:space="preserve"/>
        </is>
      </c>
      <c r="F152" t="inlineStr">
        <is>
          <t xml:space="preserve">Only 5% Score 15/15 | Power Automate Interview Questions &amp; Answers | CoyLix</t>
        </is>
      </c>
      <c r="G152" t="inlineStr">
        <is>
          <t xml:space="preserve">CoyLix</t>
        </is>
      </c>
      <c r="H152" s="3">
        <v>476</v>
      </c>
      <c r="I152" t="inlineStr">
        <is>
          <t xml:space="preserve">3mo ago</t>
        </is>
      </c>
      <c r="J152" t="inlineStr">
        <is>
          <t xml:space="preserve">10:06</t>
        </is>
      </c>
      <c r="K152" s="2" t="str">
        <f>HYPERLINK("https://www.youtube.com/watch?v=TAO49Ixlfr4","https://www.youtube.com/watch?v=TAO49Ixlfr4")</f>
        <v>https://www.youtube.com/watch?v=TAO49Ixlfr4</v>
      </c>
      <c r="L152" t="inlineStr">
        <is>
          <t xml:space="preserve">Crack Your Next Power Platform Interview ...</t>
        </is>
      </c>
      <c r="M152" t="inlineStr">
        <is>
          <t xml:space="preserve">power automate interview questions</t>
        </is>
      </c>
    </row>
    <row r="153">
      <c r="A153" s="3">
        <v>152</v>
      </c>
      <c r="B153" t="inlineStr">
        <is>
          <t xml:space="preserve">Video</t>
        </is>
      </c>
      <c r="C153" t="inlineStr">
        <is>
          <t xml:space="preserve">English</t>
        </is>
      </c>
      <c r="D153" t="inlineStr">
        <is>
          <t xml:space="preserve">Interview prep</t>
        </is>
      </c>
      <c r="E153" t="inlineStr">
        <is>
          <t xml:space="preserve"/>
        </is>
      </c>
      <c r="F153" t="inlineStr">
        <is>
          <t xml:space="preserve">Top Power Automate Interview Questions You Must Know in 2025 | Essential Tips &amp; Answers</t>
        </is>
      </c>
      <c r="G153" t="inlineStr">
        <is>
          <t xml:space="preserve">Tech Beyond Basics</t>
        </is>
      </c>
      <c r="H153" s="3">
        <v>102</v>
      </c>
      <c r="I153" t="inlineStr">
        <is>
          <t xml:space="preserve">1y ago</t>
        </is>
      </c>
      <c r="J153" t="inlineStr">
        <is>
          <t xml:space="preserve">4:28</t>
        </is>
      </c>
      <c r="K153" s="2" t="str">
        <f>HYPERLINK("https://www.youtube.com/watch?v=NfVmDDTdWbc","https://www.youtube.com/watch?v=NfVmDDTdWbc")</f>
        <v>https://www.youtube.com/watch?v=NfVmDDTdWbc</v>
      </c>
      <c r="L153" t="inlineStr">
        <is>
          <t xml:space="preserve">Top Power Automate Interview Questions You Must Know in 2025 | Essential Tips &amp; Answers.</t>
        </is>
      </c>
      <c r="M153" t="inlineStr">
        <is>
          <t xml:space="preserve">power automate interview questions</t>
        </is>
      </c>
    </row>
    <row r="154">
      <c r="A154" s="3">
        <v>153</v>
      </c>
      <c r="B154" t="inlineStr">
        <is>
          <t xml:space="preserve">Video</t>
        </is>
      </c>
      <c r="C154" t="inlineStr">
        <is>
          <t xml:space="preserve">English</t>
        </is>
      </c>
      <c r="D154" t="inlineStr">
        <is>
          <t xml:space="preserve">Interview prep</t>
        </is>
      </c>
      <c r="E154" t="inlineStr">
        <is>
          <t xml:space="preserve"/>
        </is>
      </c>
      <c r="F154" t="inlineStr">
        <is>
          <t xml:space="preserve">🔥Power Automate Base Level Interview Questions &amp; Answers | Beginners | Simple Explanation 🚀</t>
        </is>
      </c>
      <c r="G154" t="inlineStr">
        <is>
          <t xml:space="preserve">Arun Mishra</t>
        </is>
      </c>
      <c r="H154" s="3">
        <v>87</v>
      </c>
      <c r="I154" t="inlineStr">
        <is>
          <t xml:space="preserve">9mo ago</t>
        </is>
      </c>
      <c r="J154" t="inlineStr">
        <is>
          <t xml:space="preserve">4:01</t>
        </is>
      </c>
      <c r="K154" s="2" t="str">
        <f>HYPERLINK("https://www.youtube.com/watch?v=idkR6Y3-mo8","https://www.youtube.com/watch?v=idkR6Y3-mo8")</f>
        <v>https://www.youtube.com/watch?v=idkR6Y3-mo8</v>
      </c>
      <c r="L154" t="inlineStr">
        <is>
          <t xml:space="preserve">Learn the most common Power Automate Base-Level Interview Questions asked in MNCs. This video will help freshers and ...</t>
        </is>
      </c>
      <c r="M154" t="inlineStr">
        <is>
          <t xml:space="preserve">power automate interview questions</t>
        </is>
      </c>
    </row>
    <row r="155">
      <c r="A155" s="3">
        <v>154</v>
      </c>
      <c r="B155" t="inlineStr">
        <is>
          <t xml:space="preserve">Video</t>
        </is>
      </c>
      <c r="C155" t="inlineStr">
        <is>
          <t xml:space="preserve">English</t>
        </is>
      </c>
      <c r="D155" t="inlineStr">
        <is>
          <t xml:space="preserve">Tutorial</t>
        </is>
      </c>
      <c r="E155" t="inlineStr">
        <is>
          <t xml:space="preserve">Desktop/RPA</t>
        </is>
      </c>
      <c r="F155" t="inlineStr">
        <is>
          <t xml:space="preserve">🤖 How to use Microsoft Power Automate Desktop - Full tutorial</t>
        </is>
      </c>
      <c r="G155" t="inlineStr">
        <is>
          <t xml:space="preserve">Kevin Stratvert</t>
        </is>
      </c>
      <c r="H155" s="3">
        <v>1856296</v>
      </c>
      <c r="I155" t="inlineStr">
        <is>
          <t xml:space="preserve">5y ago</t>
        </is>
      </c>
      <c r="J155" t="inlineStr">
        <is>
          <t xml:space="preserve">37:39</t>
        </is>
      </c>
      <c r="K155" s="2" t="str">
        <f>HYPERLINK("https://www.youtube.com/watch?v=IQ_KpBC8fwo","https://www.youtube.com/watch?v=IQ_KpBC8fwo")</f>
        <v>https://www.youtube.com/watch?v=IQ_KpBC8fwo</v>
      </c>
      <c r="L155" t="inlineStr">
        <is>
          <t xml:space="preserve">In this step-by-step tutorial, learn how you can use Microsoft Power Automate Desktop to automate repetitive and mundane tasks.</t>
        </is>
      </c>
      <c r="M155" t="inlineStr">
        <is>
          <t xml:space="preserve">power automate project ; power automate desktop full course ; power automate desktop project ; power automate desktop bangla</t>
        </is>
      </c>
    </row>
    <row r="156">
      <c r="A156" s="3">
        <v>155</v>
      </c>
      <c r="B156" t="inlineStr">
        <is>
          <t xml:space="preserve">Video</t>
        </is>
      </c>
      <c r="C156" t="inlineStr">
        <is>
          <t xml:space="preserve">English</t>
        </is>
      </c>
      <c r="D156" t="inlineStr">
        <is>
          <t xml:space="preserve">Tutorial</t>
        </is>
      </c>
      <c r="E156" t="inlineStr">
        <is>
          <t xml:space="preserve"/>
        </is>
      </c>
      <c r="F156" t="inlineStr">
        <is>
          <t xml:space="preserve">Power Automate Tutorial for Beginners</t>
        </is>
      </c>
      <c r="G156" t="inlineStr">
        <is>
          <t xml:space="preserve">Kevin Stratvert</t>
        </is>
      </c>
      <c r="H156" s="3">
        <v>1766851</v>
      </c>
      <c r="I156" t="inlineStr">
        <is>
          <t xml:space="preserve">6y ago</t>
        </is>
      </c>
      <c r="J156" t="inlineStr">
        <is>
          <t xml:space="preserve">17:23</t>
        </is>
      </c>
      <c r="K156" s="2" t="str">
        <f>HYPERLINK("https://www.youtube.com/watch?v=dDO4Y4aDYXw","https://www.youtube.com/watch?v=dDO4Y4aDYXw")</f>
        <v>https://www.youtube.com/watch?v=dDO4Y4aDYXw</v>
      </c>
      <c r="L156" t="inlineStr">
        <is>
          <t xml:space="preserve">In this step-by-step tutorial, learn how to use Microsoft Power Automate to create automated workflows. Streamline repetitive tasks ...</t>
        </is>
      </c>
      <c r="M156" t="inlineStr">
        <is>
          <t xml:space="preserve">power automate full course ; power automate tutorial for beginners ; power automate project ; power automate cloud flow tutorial ; power automate course ; power automate tutorial playlist ; পাওয়ার অটোমেট</t>
        </is>
      </c>
    </row>
    <row r="157">
      <c r="A157" s="3">
        <v>156</v>
      </c>
      <c r="B157" t="inlineStr">
        <is>
          <t xml:space="preserve">Video</t>
        </is>
      </c>
      <c r="C157" t="inlineStr">
        <is>
          <t xml:space="preserve">English</t>
        </is>
      </c>
      <c r="D157" t="inlineStr">
        <is>
          <t xml:space="preserve">Tutorial</t>
        </is>
      </c>
      <c r="E157" t="inlineStr">
        <is>
          <t xml:space="preserve"/>
        </is>
      </c>
      <c r="F157" t="inlineStr">
        <is>
          <t xml:space="preserve">Microsoft Power Automate for Beginners: Start Automating Today!</t>
        </is>
      </c>
      <c r="G157" t="inlineStr">
        <is>
          <t xml:space="preserve">Teacher's Tech</t>
        </is>
      </c>
      <c r="H157" s="3">
        <v>1138934</v>
      </c>
      <c r="I157" t="inlineStr">
        <is>
          <t xml:space="preserve">2y ago</t>
        </is>
      </c>
      <c r="J157" t="inlineStr">
        <is>
          <t xml:space="preserve">16:55</t>
        </is>
      </c>
      <c r="K157" s="2" t="str">
        <f>HYPERLINK("https://www.youtube.com/watch?v=f1lTMzWygTA","https://www.youtube.com/watch?v=f1lTMzWygTA")</f>
        <v>https://www.youtube.com/watch?v=f1lTMzWygTA</v>
      </c>
      <c r="L157" t="inlineStr">
        <is>
          <t xml:space="preserve">Welcome to our beginner's guide on how to use Microsoft Power Automate! In this tutorial, you'll learn the fundamentals of ...</t>
        </is>
      </c>
      <c r="M157" t="inlineStr">
        <is>
          <t xml:space="preserve">power automate full course ; power automate tutorial for beginners ; power automate project ; power automate real world project ; power automate desktop full course ; power automate cloud flow tutorial ; power automate sharepoint automation ; power automate excel automation ; power automate copilot ; power automate advanced tutorial ; power apps power automate project ; power automate course ; power automate tutorial playlist ; power automate project hindi ; power automate tutorial bangla ; power automate bangla ; power automate desktop bangla ; microsoft power automate bangla tutorial ; পাওয়ার অটোমেট</t>
        </is>
      </c>
    </row>
    <row r="158">
      <c r="A158" s="3">
        <v>157</v>
      </c>
      <c r="B158" t="inlineStr">
        <is>
          <t xml:space="preserve">Video</t>
        </is>
      </c>
      <c r="C158" t="inlineStr">
        <is>
          <t xml:space="preserve">English</t>
        </is>
      </c>
      <c r="D158" t="inlineStr">
        <is>
          <t xml:space="preserve">Tutorial</t>
        </is>
      </c>
      <c r="E158" t="inlineStr">
        <is>
          <t xml:space="preserve">AI/Copilot</t>
        </is>
      </c>
      <c r="F158" t="inlineStr">
        <is>
          <t xml:space="preserve">NEW Copilot Workflows Agent Will Automate Your Job (Full Tutorial)</t>
        </is>
      </c>
      <c r="G158" t="inlineStr">
        <is>
          <t xml:space="preserve">Collaboration Simplified</t>
        </is>
      </c>
      <c r="H158" s="3">
        <v>726356</v>
      </c>
      <c r="I158" t="inlineStr">
        <is>
          <t xml:space="preserve">10mo ago</t>
        </is>
      </c>
      <c r="J158" t="inlineStr">
        <is>
          <t xml:space="preserve">10:11</t>
        </is>
      </c>
      <c r="K158" s="2" t="str">
        <f>HYPERLINK("https://www.youtube.com/watch?v=_w-jVw8Uhc0","https://www.youtube.com/watch?v=_w-jVw8Uhc0")</f>
        <v>https://www.youtube.com/watch?v=_w-jVw8Uhc0</v>
      </c>
      <c r="L158" t="inlineStr">
        <is>
          <t xml:space="preserve">Learn how to use the new Copilot Workflows Agent in Microsoft 365 Copilot with this clear, step-by-step tutorial. Join Shervin ...</t>
        </is>
      </c>
      <c r="M158" t="inlineStr">
        <is>
          <t xml:space="preserve">power automate copilot</t>
        </is>
      </c>
    </row>
    <row r="159">
      <c r="A159" s="3">
        <v>158</v>
      </c>
      <c r="B159" t="inlineStr">
        <is>
          <t xml:space="preserve">Video</t>
        </is>
      </c>
      <c r="C159" t="inlineStr">
        <is>
          <t xml:space="preserve">English</t>
        </is>
      </c>
      <c r="D159" t="inlineStr">
        <is>
          <t xml:space="preserve">Tutorial</t>
        </is>
      </c>
      <c r="E159" t="inlineStr">
        <is>
          <t xml:space="preserve">Excel, Email/Outlook</t>
        </is>
      </c>
      <c r="F159" t="inlineStr">
        <is>
          <t xml:space="preserve">Microsoft Power Automate | Add data to Excel, get data from Excel, Conditions and Send Email | Guide</t>
        </is>
      </c>
      <c r="G159" t="inlineStr">
        <is>
          <t xml:space="preserve">Anders Jensen</t>
        </is>
      </c>
      <c r="H159" s="3">
        <v>668797</v>
      </c>
      <c r="I159" t="inlineStr">
        <is>
          <t xml:space="preserve">6y ago</t>
        </is>
      </c>
      <c r="J159" t="inlineStr">
        <is>
          <t xml:space="preserve">12:41</t>
        </is>
      </c>
      <c r="K159" s="2" t="str">
        <f>HYPERLINK("https://www.youtube.com/watch?v=kbYGFIo0WGc","https://www.youtube.com/watch?v=kbYGFIo0WGc")</f>
        <v>https://www.youtube.com/watch?v=kbYGFIo0WGc</v>
      </c>
      <c r="L159" t="inlineStr">
        <is>
          <t xml:space="preserve">Adding data to an Excel table with Power Automate, getting the data back from Excel and sending an email when a condition is ...</t>
        </is>
      </c>
      <c r="M159" t="inlineStr">
        <is>
          <t xml:space="preserve">power automate excel automation</t>
        </is>
      </c>
    </row>
    <row r="160">
      <c r="A160" s="3">
        <v>159</v>
      </c>
      <c r="B160" t="inlineStr">
        <is>
          <t xml:space="preserve">Video</t>
        </is>
      </c>
      <c r="C160" t="inlineStr">
        <is>
          <t xml:space="preserve">English</t>
        </is>
      </c>
      <c r="D160" t="inlineStr">
        <is>
          <t xml:space="preserve">Tutorial</t>
        </is>
      </c>
      <c r="E160" t="inlineStr">
        <is>
          <t xml:space="preserve">Excel, Email/Outlook</t>
        </is>
      </c>
      <c r="F160" t="inlineStr">
        <is>
          <t xml:space="preserve">Import Outlook to Excel with Power Automate Tutorial</t>
        </is>
      </c>
      <c r="G160" t="inlineStr">
        <is>
          <t xml:space="preserve">Kevin Stratvert</t>
        </is>
      </c>
      <c r="H160" s="3">
        <v>463055</v>
      </c>
      <c r="I160" t="inlineStr">
        <is>
          <t xml:space="preserve">5y ago</t>
        </is>
      </c>
      <c r="J160" t="inlineStr">
        <is>
          <t xml:space="preserve">13:33</t>
        </is>
      </c>
      <c r="K160" s="2" t="str">
        <f>HYPERLINK("https://www.youtube.com/watch?v=OrCs36S3w3w","https://www.youtube.com/watch?v=OrCs36S3w3w")</f>
        <v>https://www.youtube.com/watch?v=OrCs36S3w3w</v>
      </c>
      <c r="L160" t="inlineStr">
        <is>
          <t xml:space="preserve">Learn Excel in just 2 hours: https://kevinstratvert.thinkific.com In this step-by-step tutorial, learn how to import email from either ...</t>
        </is>
      </c>
      <c r="M160" t="inlineStr">
        <is>
          <t xml:space="preserve">power automate email automation outlook</t>
        </is>
      </c>
    </row>
    <row r="161">
      <c r="A161" s="3">
        <v>160</v>
      </c>
      <c r="B161" t="inlineStr">
        <is>
          <t xml:space="preserve">Video</t>
        </is>
      </c>
      <c r="C161" t="inlineStr">
        <is>
          <t xml:space="preserve">English</t>
        </is>
      </c>
      <c r="D161" t="inlineStr">
        <is>
          <t xml:space="preserve">Tutorial</t>
        </is>
      </c>
      <c r="E161" t="inlineStr">
        <is>
          <t xml:space="preserve">SharePoint, Approvals</t>
        </is>
      </c>
      <c r="F161" t="inlineStr">
        <is>
          <t xml:space="preserve">Create Simple Document Approval Flows using Power Automate &amp; SharePoint</t>
        </is>
      </c>
      <c r="G161" t="inlineStr">
        <is>
          <t xml:space="preserve">Competitive Computing Consultants Inc.</t>
        </is>
      </c>
      <c r="H161" s="3">
        <v>324749</v>
      </c>
      <c r="I161" t="inlineStr">
        <is>
          <t xml:space="preserve">6y ago</t>
        </is>
      </c>
      <c r="J161" t="inlineStr">
        <is>
          <t xml:space="preserve">13:53</t>
        </is>
      </c>
      <c r="K161" s="2" t="str">
        <f>HYPERLINK("https://www.youtube.com/watch?v=ruu7UJE0KPk","https://www.youtube.com/watch?v=ruu7UJE0KPk")</f>
        <v>https://www.youtube.com/watch?v=ruu7UJE0KPk</v>
      </c>
      <c r="L161" t="inlineStr">
        <is>
          <t xml:space="preserve">Watch a step-by-step guide to creating your own customized automated document approval system simply by using 1 Microsoft ...</t>
        </is>
      </c>
      <c r="M161" t="inlineStr">
        <is>
          <t xml:space="preserve">power automate sharepoint automation</t>
        </is>
      </c>
    </row>
    <row r="162">
      <c r="A162" s="3">
        <v>161</v>
      </c>
      <c r="B162" t="inlineStr">
        <is>
          <t xml:space="preserve">Video</t>
        </is>
      </c>
      <c r="C162" t="inlineStr">
        <is>
          <t xml:space="preserve">English</t>
        </is>
      </c>
      <c r="D162" t="inlineStr">
        <is>
          <t xml:space="preserve">Tutorial</t>
        </is>
      </c>
      <c r="E162" t="inlineStr">
        <is>
          <t xml:space="preserve">Excel, Email/Outlook</t>
        </is>
      </c>
      <c r="F162" t="inlineStr">
        <is>
          <t xml:space="preserve">Send Personalized Emails from Excel using Power Automate</t>
        </is>
      </c>
      <c r="G162" t="inlineStr">
        <is>
          <t xml:space="preserve">Teacher's Tech</t>
        </is>
      </c>
      <c r="H162" s="3">
        <v>262018</v>
      </c>
      <c r="I162" t="inlineStr">
        <is>
          <t xml:space="preserve">2y ago</t>
        </is>
      </c>
      <c r="J162" t="inlineStr">
        <is>
          <t xml:space="preserve">11:21</t>
        </is>
      </c>
      <c r="K162" s="2" t="str">
        <f>HYPERLINK("https://www.youtube.com/watch?v=OxBkrC4mHq4","https://www.youtube.com/watch?v=OxBkrC4mHq4")</f>
        <v>https://www.youtube.com/watch?v=OxBkrC4mHq4</v>
      </c>
      <c r="L162" t="inlineStr">
        <is>
          <t xml:space="preserve">Learn how to streamline your email communication process with this step-by-step tutorial! In this video, we'll walk you through the ...</t>
        </is>
      </c>
      <c r="M162" t="inlineStr">
        <is>
          <t xml:space="preserve">power automate excel automation</t>
        </is>
      </c>
    </row>
    <row r="163">
      <c r="A163" s="3">
        <v>162</v>
      </c>
      <c r="B163" t="inlineStr">
        <is>
          <t xml:space="preserve">Video</t>
        </is>
      </c>
      <c r="C163" t="inlineStr">
        <is>
          <t xml:space="preserve">English</t>
        </is>
      </c>
      <c r="D163" t="inlineStr">
        <is>
          <t xml:space="preserve">Tutorial</t>
        </is>
      </c>
      <c r="E163" t="inlineStr">
        <is>
          <t xml:space="preserve"/>
        </is>
      </c>
      <c r="F163" t="inlineStr">
        <is>
          <t xml:space="preserve">Microsoft Power Platform Fundamentals in 15 Minutes</t>
        </is>
      </c>
      <c r="G163" t="inlineStr">
        <is>
          <t xml:space="preserve">Lisa Crosbie</t>
        </is>
      </c>
      <c r="H163" s="3">
        <v>246295</v>
      </c>
      <c r="I163" t="inlineStr">
        <is>
          <t xml:space="preserve">5y ago</t>
        </is>
      </c>
      <c r="J163" t="inlineStr">
        <is>
          <t xml:space="preserve">14:11</t>
        </is>
      </c>
      <c r="K163" s="2" t="str">
        <f>HYPERLINK("https://www.youtube.com/watch?v=ergBfAQqsgk","https://www.youtube.com/watch?v=ergBfAQqsgk")</f>
        <v>https://www.youtube.com/watch?v=ergBfAQqsgk</v>
      </c>
      <c r="L163" t="inlineStr">
        <is>
          <t xml:space="preserve">An overview of the Microsoft Power Platform in 15 minutes, covering all the fundamental tools in the platform, what they do, and ...</t>
        </is>
      </c>
      <c r="M163" t="inlineStr">
        <is>
          <t xml:space="preserve">PL-900 power platform</t>
        </is>
      </c>
    </row>
    <row r="164">
      <c r="A164" s="3">
        <v>163</v>
      </c>
      <c r="B164" t="inlineStr">
        <is>
          <t xml:space="preserve">Video</t>
        </is>
      </c>
      <c r="C164" t="inlineStr">
        <is>
          <t xml:space="preserve">English</t>
        </is>
      </c>
      <c r="D164" t="inlineStr">
        <is>
          <t xml:space="preserve">Tutorial</t>
        </is>
      </c>
      <c r="E164" t="inlineStr">
        <is>
          <t xml:space="preserve"/>
        </is>
      </c>
      <c r="F164" t="inlineStr">
        <is>
          <t xml:space="preserve">Power Automate Beginner Tutorial</t>
        </is>
      </c>
      <c r="G164" t="inlineStr">
        <is>
          <t xml:space="preserve">Learn Skills Daily</t>
        </is>
      </c>
      <c r="H164" s="3">
        <v>229289</v>
      </c>
      <c r="I164" t="inlineStr">
        <is>
          <t xml:space="preserve">4y ago</t>
        </is>
      </c>
      <c r="J164" t="inlineStr">
        <is>
          <t xml:space="preserve">54:12</t>
        </is>
      </c>
      <c r="K164" s="2" t="str">
        <f>HYPERLINK("https://www.youtube.com/watch?v=a6Td25Nq8lg","https://www.youtube.com/watch?v=a6Td25Nq8lg")</f>
        <v>https://www.youtube.com/watch?v=a6Td25Nq8lg</v>
      </c>
      <c r="L164" t="inlineStr">
        <is>
          <t xml:space="preserve">Power Automate Beginner Tutorial Get Ad-Free Training by becoming a member today!</t>
        </is>
      </c>
      <c r="M164" t="inlineStr">
        <is>
          <t xml:space="preserve">power automate tutorial for beginners</t>
        </is>
      </c>
    </row>
    <row r="165">
      <c r="A165" s="3">
        <v>164</v>
      </c>
      <c r="B165" t="inlineStr">
        <is>
          <t xml:space="preserve">Video</t>
        </is>
      </c>
      <c r="C165" t="inlineStr">
        <is>
          <t xml:space="preserve">English</t>
        </is>
      </c>
      <c r="D165" t="inlineStr">
        <is>
          <t xml:space="preserve">Tutorial</t>
        </is>
      </c>
      <c r="E165" t="inlineStr">
        <is>
          <t xml:space="preserve">Approvals</t>
        </is>
      </c>
      <c r="F165" t="inlineStr">
        <is>
          <t xml:space="preserve">Power Automate Approval Workflow Basics</t>
        </is>
      </c>
      <c r="G165" t="inlineStr">
        <is>
          <t xml:space="preserve">Reza Dorrani</t>
        </is>
      </c>
      <c r="H165" s="3">
        <v>229152</v>
      </c>
      <c r="I165" t="inlineStr">
        <is>
          <t xml:space="preserve">6y ago</t>
        </is>
      </c>
      <c r="J165" t="inlineStr">
        <is>
          <t xml:space="preserve">30:01</t>
        </is>
      </c>
      <c r="K165" s="2" t="str">
        <f>HYPERLINK("https://www.youtube.com/watch?v=4ZnI0_atYUo","https://www.youtube.com/watch?v=4ZnI0_atYUo")</f>
        <v>https://www.youtube.com/watch?v=4ZnI0_atYUo</v>
      </c>
      <c r="L165" t="inlineStr">
        <is>
          <t xml:space="preserve">In this Microsoft Power Platform video, we will explore the flow Approval action in detail and cover Power Automate Approval ...</t>
        </is>
      </c>
      <c r="M165" t="inlineStr">
        <is>
          <t xml:space="preserve">power automate approval workflow</t>
        </is>
      </c>
    </row>
    <row r="166">
      <c r="A166" s="3">
        <v>165</v>
      </c>
      <c r="B166" t="inlineStr">
        <is>
          <t xml:space="preserve">Video</t>
        </is>
      </c>
      <c r="C166" t="inlineStr">
        <is>
          <t xml:space="preserve">English</t>
        </is>
      </c>
      <c r="D166" t="inlineStr">
        <is>
          <t xml:space="preserve">Tutorial</t>
        </is>
      </c>
      <c r="E166" t="inlineStr">
        <is>
          <t xml:space="preserve">Email/Outlook</t>
        </is>
      </c>
      <c r="F166" t="inlineStr">
        <is>
          <t xml:space="preserve">How to Send Recurring Emails in Outlook</t>
        </is>
      </c>
      <c r="G166" t="inlineStr">
        <is>
          <t xml:space="preserve">Kevin Stratvert</t>
        </is>
      </c>
      <c r="H166" s="3">
        <v>220411</v>
      </c>
      <c r="I166" t="inlineStr">
        <is>
          <t xml:space="preserve">2y ago</t>
        </is>
      </c>
      <c r="J166" t="inlineStr">
        <is>
          <t xml:space="preserve">7:22</t>
        </is>
      </c>
      <c r="K166" s="2" t="str">
        <f>HYPERLINK("https://www.youtube.com/watch?v=vm29DZRO7Bc","https://www.youtube.com/watch?v=vm29DZRO7Bc")</f>
        <v>https://www.youtube.com/watch?v=vm29DZRO7Bc</v>
      </c>
      <c r="L166" t="inlineStr">
        <is>
          <t xml:space="preserve">In this step-by-step tutorial, learn how to send recurring emails in Outlook using Power Automate. Power Automate is a free ...</t>
        </is>
      </c>
      <c r="M166" t="inlineStr">
        <is>
          <t xml:space="preserve">power automate email automation outlook</t>
        </is>
      </c>
    </row>
    <row r="167">
      <c r="A167" s="3">
        <v>166</v>
      </c>
      <c r="B167" t="inlineStr">
        <is>
          <t xml:space="preserve">Video</t>
        </is>
      </c>
      <c r="C167" t="inlineStr">
        <is>
          <t xml:space="preserve">English</t>
        </is>
      </c>
      <c r="D167" t="inlineStr">
        <is>
          <t xml:space="preserve">Tutorial</t>
        </is>
      </c>
      <c r="E167" t="inlineStr">
        <is>
          <t xml:space="preserve">Desktop/RPA</t>
        </is>
      </c>
      <c r="F167" t="inlineStr">
        <is>
          <t xml:space="preserve">Unleashing the Time-Saving Magic of Power Automate Desktop</t>
        </is>
      </c>
      <c r="G167" t="inlineStr">
        <is>
          <t xml:space="preserve">TechSocket</t>
        </is>
      </c>
      <c r="H167" s="3">
        <v>187572</v>
      </c>
      <c r="I167" t="inlineStr">
        <is>
          <t xml:space="preserve">3y ago</t>
        </is>
      </c>
      <c r="J167" t="inlineStr">
        <is>
          <t xml:space="preserve">0:19</t>
        </is>
      </c>
      <c r="K167" s="2" t="str">
        <f>HYPERLINK("https://www.youtube.com/watch?v=N5dkXkFecH4","https://www.youtube.com/watch?v=N5dkXkFecH4")</f>
        <v>https://www.youtube.com/watch?v=N5dkXkFecH4</v>
      </c>
      <c r="L167" t="inlineStr">
        <is>
          <t xml:space="preserve">shorts Are you tired of spending countless hours on repetitive, mundane tasks? Do you wish you had more time to focus on ...</t>
        </is>
      </c>
      <c r="M167" t="inlineStr">
        <is>
          <t xml:space="preserve">power automate advanced tutorial</t>
        </is>
      </c>
    </row>
    <row r="168">
      <c r="A168" s="3">
        <v>167</v>
      </c>
      <c r="B168" t="inlineStr">
        <is>
          <t xml:space="preserve">Video</t>
        </is>
      </c>
      <c r="C168" t="inlineStr">
        <is>
          <t xml:space="preserve">English</t>
        </is>
      </c>
      <c r="D168" t="inlineStr">
        <is>
          <t xml:space="preserve">Tutorial</t>
        </is>
      </c>
      <c r="E168" t="inlineStr">
        <is>
          <t xml:space="preserve">Approvals</t>
        </is>
      </c>
      <c r="F168" t="inlineStr">
        <is>
          <t xml:space="preserve">How to Create an Approval Workflow Using Power Automate |  (Step-by-Step Tutorial)</t>
        </is>
      </c>
      <c r="G168" t="inlineStr">
        <is>
          <t xml:space="preserve">Michael Alex</t>
        </is>
      </c>
      <c r="H168" s="3">
        <v>169692</v>
      </c>
      <c r="I168" t="inlineStr">
        <is>
          <t xml:space="preserve">4y ago</t>
        </is>
      </c>
      <c r="J168" t="inlineStr">
        <is>
          <t xml:space="preserve">9:55</t>
        </is>
      </c>
      <c r="K168" s="2" t="str">
        <f>HYPERLINK("https://www.youtube.com/watch?v=3i_Bi9yVyiw","https://www.youtube.com/watch?v=3i_Bi9yVyiw")</f>
        <v>https://www.youtube.com/watch?v=3i_Bi9yVyiw</v>
      </c>
      <c r="L168" t="inlineStr">
        <is>
          <t xml:space="preserve">Hi Everyone, In this video, I demonstrate how to create an approval process using Power Automate. The approval action I'm using ...</t>
        </is>
      </c>
      <c r="M168" t="inlineStr">
        <is>
          <t xml:space="preserve">power automate approval workflow</t>
        </is>
      </c>
    </row>
    <row r="169">
      <c r="A169" s="3">
        <v>168</v>
      </c>
      <c r="B169" t="inlineStr">
        <is>
          <t xml:space="preserve">Video</t>
        </is>
      </c>
      <c r="C169" t="inlineStr">
        <is>
          <t xml:space="preserve">English</t>
        </is>
      </c>
      <c r="D169" t="inlineStr">
        <is>
          <t xml:space="preserve">Tutorial</t>
        </is>
      </c>
      <c r="E169" t="inlineStr">
        <is>
          <t xml:space="preserve">SharePoint</t>
        </is>
      </c>
      <c r="F169" t="inlineStr">
        <is>
          <t xml:space="preserve">Creating Automated Workflows in Microsoft SharePoint Online with Power Automate - Office 365</t>
        </is>
      </c>
      <c r="G169" t="inlineStr">
        <is>
          <t xml:space="preserve">Simon Sez IT</t>
        </is>
      </c>
      <c r="H169" s="3">
        <v>161066</v>
      </c>
      <c r="I169" t="inlineStr">
        <is>
          <t xml:space="preserve">5y ago</t>
        </is>
      </c>
      <c r="J169" t="inlineStr">
        <is>
          <t xml:space="preserve">9:52</t>
        </is>
      </c>
      <c r="K169" s="2" t="str">
        <f>HYPERLINK("https://www.youtube.com/watch?v=gVBytZBm0wg","https://www.youtube.com/watch?v=gVBytZBm0wg")</f>
        <v>https://www.youtube.com/watch?v=gVBytZBm0wg</v>
      </c>
      <c r="L169" t="inlineStr">
        <is>
          <t xml:space="preserve">In this SharePoint tutorial, we demonstrate how to create an automated workflow in Microsoft SharePoint Online. We walk you ...</t>
        </is>
      </c>
      <c r="M169" t="inlineStr">
        <is>
          <t xml:space="preserve">power automate sharepoint automation</t>
        </is>
      </c>
    </row>
    <row r="170">
      <c r="A170" s="3">
        <v>169</v>
      </c>
      <c r="B170" t="inlineStr">
        <is>
          <t xml:space="preserve">Video</t>
        </is>
      </c>
      <c r="C170" t="inlineStr">
        <is>
          <t xml:space="preserve">English</t>
        </is>
      </c>
      <c r="D170" t="inlineStr">
        <is>
          <t xml:space="preserve">Tutorial</t>
        </is>
      </c>
      <c r="E170" t="inlineStr">
        <is>
          <t xml:space="preserve">SharePoint</t>
        </is>
      </c>
      <c r="F170" t="inlineStr">
        <is>
          <t xml:space="preserve">Create a Ticketing System in Sharepoint with Power Automate</t>
        </is>
      </c>
      <c r="G170" t="inlineStr">
        <is>
          <t xml:space="preserve">SharePointPro</t>
        </is>
      </c>
      <c r="H170" s="3">
        <v>152357</v>
      </c>
      <c r="I170" t="inlineStr">
        <is>
          <t xml:space="preserve">4y ago</t>
        </is>
      </c>
      <c r="J170" t="inlineStr">
        <is>
          <t xml:space="preserve">13:46</t>
        </is>
      </c>
      <c r="K170" s="2" t="str">
        <f>HYPERLINK("https://www.youtube.com/watch?v=hS6KzlcRfU0","https://www.youtube.com/watch?v=hS6KzlcRfU0")</f>
        <v>https://www.youtube.com/watch?v=hS6KzlcRfU0</v>
      </c>
      <c r="L170" t="inlineStr">
        <is>
          <t xml:space="preserve">I take you through a way to create a simple yet powerful ticketing/tasking system using only SharePoint and MS Power Automate ...</t>
        </is>
      </c>
      <c r="M170" t="inlineStr">
        <is>
          <t xml:space="preserve">power automate sharepoint automation</t>
        </is>
      </c>
    </row>
    <row r="171">
      <c r="A171" s="3">
        <v>170</v>
      </c>
      <c r="B171" t="inlineStr">
        <is>
          <t xml:space="preserve">Video</t>
        </is>
      </c>
      <c r="C171" t="inlineStr">
        <is>
          <t xml:space="preserve">English</t>
        </is>
      </c>
      <c r="D171" t="inlineStr">
        <is>
          <t xml:space="preserve">Tutorial</t>
        </is>
      </c>
      <c r="E171" t="inlineStr">
        <is>
          <t xml:space="preserve"/>
        </is>
      </c>
      <c r="F171" t="inlineStr">
        <is>
          <t xml:space="preserve">What is Microsoft Power Automate? Explanation for Beginners</t>
        </is>
      </c>
      <c r="G171" t="inlineStr">
        <is>
          <t xml:space="preserve">Simon Sez IT</t>
        </is>
      </c>
      <c r="H171" s="3">
        <v>144108</v>
      </c>
      <c r="I171" t="inlineStr">
        <is>
          <t xml:space="preserve">5y ago</t>
        </is>
      </c>
      <c r="J171" t="inlineStr">
        <is>
          <t xml:space="preserve">4:19</t>
        </is>
      </c>
      <c r="K171" s="2" t="str">
        <f>HYPERLINK("https://www.youtube.com/watch?v=yVAEH6-ui0w","https://www.youtube.com/watch?v=yVAEH6-ui0w")</f>
        <v>https://www.youtube.com/watch?v=yVAEH6-ui0w</v>
      </c>
      <c r="L171" t="inlineStr">
        <is>
          <t xml:space="preserve">Microsoft Power Automate is a tool that allows you to automate tasks and business processes, although it is not limited to business ...</t>
        </is>
      </c>
      <c r="M171" t="inlineStr">
        <is>
          <t xml:space="preserve">পাওয়ার অটোমেট</t>
        </is>
      </c>
    </row>
    <row r="172">
      <c r="A172" s="3">
        <v>171</v>
      </c>
      <c r="B172" t="inlineStr">
        <is>
          <t xml:space="preserve">Video</t>
        </is>
      </c>
      <c r="C172" t="inlineStr">
        <is>
          <t xml:space="preserve">English</t>
        </is>
      </c>
      <c r="D172" t="inlineStr">
        <is>
          <t xml:space="preserve">Tutorial</t>
        </is>
      </c>
      <c r="E172" t="inlineStr">
        <is>
          <t xml:space="preserve"/>
        </is>
      </c>
      <c r="F172" t="inlineStr">
        <is>
          <t xml:space="preserve">Microsoft Power Platform - Overview for beginners (2025 update)</t>
        </is>
      </c>
      <c r="G172" t="inlineStr">
        <is>
          <t xml:space="preserve">Dani Kahil</t>
        </is>
      </c>
      <c r="H172" s="3">
        <v>143671</v>
      </c>
      <c r="I172" t="inlineStr">
        <is>
          <t xml:space="preserve">1y ago</t>
        </is>
      </c>
      <c r="J172" t="inlineStr">
        <is>
          <t xml:space="preserve">11:04</t>
        </is>
      </c>
      <c r="K172" s="2" t="str">
        <f>HYPERLINK("https://www.youtube.com/watch?v=6xKlq-qZdsI","https://www.youtube.com/watch?v=6xKlq-qZdsI")</f>
        <v>https://www.youtube.com/watch?v=6xKlq-qZdsI</v>
      </c>
      <c r="L172" t="inlineStr">
        <is>
          <t xml:space="preserve">This video addresses the Microsoft Power Platform, covering the latest Microsoft updates from 2025. We provide an overview of ...</t>
        </is>
      </c>
      <c r="M172" t="inlineStr">
        <is>
          <t xml:space="preserve">PL-900 power platform</t>
        </is>
      </c>
    </row>
    <row r="173">
      <c r="A173" s="3">
        <v>172</v>
      </c>
      <c r="B173" t="inlineStr">
        <is>
          <t xml:space="preserve">Video</t>
        </is>
      </c>
      <c r="C173" t="inlineStr">
        <is>
          <t xml:space="preserve">English</t>
        </is>
      </c>
      <c r="D173" t="inlineStr">
        <is>
          <t xml:space="preserve">Tutorial</t>
        </is>
      </c>
      <c r="E173" t="inlineStr">
        <is>
          <t xml:space="preserve">Approvals</t>
        </is>
      </c>
      <c r="F173" t="inlineStr">
        <is>
          <t xml:space="preserve">How to Send a Microsoft Form Approval to a Manager Using Power Automate | (Step-by-Step Tutorial)</t>
        </is>
      </c>
      <c r="G173" t="inlineStr">
        <is>
          <t xml:space="preserve">Michael Alex</t>
        </is>
      </c>
      <c r="H173" s="3">
        <v>137409</v>
      </c>
      <c r="I173" t="inlineStr">
        <is>
          <t xml:space="preserve">3y ago</t>
        </is>
      </c>
      <c r="J173" t="inlineStr">
        <is>
          <t xml:space="preserve">8:32</t>
        </is>
      </c>
      <c r="K173" s="2" t="str">
        <f>HYPERLINK("https://www.youtube.com/watch?v=BH6K_Vze42U","https://www.youtube.com/watch?v=BH6K_Vze42U")</f>
        <v>https://www.youtube.com/watch?v=BH6K_Vze42U</v>
      </c>
      <c r="L173" t="inlineStr">
        <is>
          <t xml:space="preserve">Hi Everyone, In this video, I demonstrate how to send a Microsoft Form Approval to the User's manager that submitted the form ...</t>
        </is>
      </c>
      <c r="M173" t="inlineStr">
        <is>
          <t xml:space="preserve">power automate approval workflow</t>
        </is>
      </c>
    </row>
    <row r="174">
      <c r="A174" s="3">
        <v>173</v>
      </c>
      <c r="B174" t="inlineStr">
        <is>
          <t xml:space="preserve">Video</t>
        </is>
      </c>
      <c r="C174" t="inlineStr">
        <is>
          <t xml:space="preserve">English</t>
        </is>
      </c>
      <c r="D174" t="inlineStr">
        <is>
          <t xml:space="preserve">Tutorial</t>
        </is>
      </c>
      <c r="E174" t="inlineStr">
        <is>
          <t xml:space="preserve">Email/Outlook</t>
        </is>
      </c>
      <c r="F174" t="inlineStr">
        <is>
          <t xml:space="preserve">How to Automate Regular Emails in Microsoft Outlook</t>
        </is>
      </c>
      <c r="G174" t="inlineStr">
        <is>
          <t xml:space="preserve">Teacher's Tech</t>
        </is>
      </c>
      <c r="H174" s="3">
        <v>129627</v>
      </c>
      <c r="I174" t="inlineStr">
        <is>
          <t xml:space="preserve">2y ago</t>
        </is>
      </c>
      <c r="J174" t="inlineStr">
        <is>
          <t xml:space="preserve">8:43</t>
        </is>
      </c>
      <c r="K174" s="2" t="str">
        <f>HYPERLINK("https://www.youtube.com/watch?v=HfMzxamFNUk","https://www.youtube.com/watch?v=HfMzxamFNUk")</f>
        <v>https://www.youtube.com/watch?v=HfMzxamFNUk</v>
      </c>
      <c r="L174" t="inlineStr">
        <is>
          <t xml:space="preserve">In this step-by-step tutorial, learn how to automate regular emails in Microsoft Outlook effortlessly using Power Automate, which ...</t>
        </is>
      </c>
      <c r="M174" t="inlineStr">
        <is>
          <t xml:space="preserve">power automate email automation outlook</t>
        </is>
      </c>
    </row>
    <row r="175">
      <c r="A175" s="3">
        <v>174</v>
      </c>
      <c r="B175" t="inlineStr">
        <is>
          <t xml:space="preserve">Video</t>
        </is>
      </c>
      <c r="C175" t="inlineStr">
        <is>
          <t xml:space="preserve">English</t>
        </is>
      </c>
      <c r="D175" t="inlineStr">
        <is>
          <t xml:space="preserve">Tutorial</t>
        </is>
      </c>
      <c r="E175" t="inlineStr">
        <is>
          <t xml:space="preserve">Desktop/RPA, Excel, Web automation</t>
        </is>
      </c>
      <c r="F175" t="inlineStr">
        <is>
          <t xml:space="preserve">Power Automate Desktop Tutorial for Beginners [2026]</t>
        </is>
      </c>
      <c r="G175" t="inlineStr">
        <is>
          <t xml:space="preserve">Anders Jensen</t>
        </is>
      </c>
      <c r="H175" s="3">
        <v>129382</v>
      </c>
      <c r="I175" t="inlineStr">
        <is>
          <t xml:space="preserve">2y ago</t>
        </is>
      </c>
      <c r="J175" t="inlineStr">
        <is>
          <t xml:space="preserve">1:21:03</t>
        </is>
      </c>
      <c r="K175" s="2" t="str">
        <f>HYPERLINK("https://www.youtube.com/watch?v=B0cHOdBv7Jg","https://www.youtube.com/watch?v=B0cHOdBv7Jg")</f>
        <v>https://www.youtube.com/watch?v=B0cHOdBv7Jg</v>
      </c>
      <c r="L175" t="inlineStr">
        <is>
          <t xml:space="preserve">This Power Automate Desktop tutorial for beginners builds one complete flow step by step: It reads Excel, scrapes stock prices ...</t>
        </is>
      </c>
      <c r="M175" t="inlineStr">
        <is>
          <t xml:space="preserve">power automate desktop full course</t>
        </is>
      </c>
    </row>
    <row r="176">
      <c r="A176" s="3">
        <v>175</v>
      </c>
      <c r="B176" t="inlineStr">
        <is>
          <t xml:space="preserve">Video</t>
        </is>
      </c>
      <c r="C176" t="inlineStr">
        <is>
          <t xml:space="preserve">English</t>
        </is>
      </c>
      <c r="D176" t="inlineStr">
        <is>
          <t xml:space="preserve">Tutorial</t>
        </is>
      </c>
      <c r="E176" t="inlineStr">
        <is>
          <t xml:space="preserve"/>
        </is>
      </c>
      <c r="F176" t="inlineStr">
        <is>
          <t xml:space="preserve">Power Automate Advanced Tutorial</t>
        </is>
      </c>
      <c r="G176" t="inlineStr">
        <is>
          <t xml:space="preserve">Learn Skills Daily</t>
        </is>
      </c>
      <c r="H176" s="3">
        <v>129234</v>
      </c>
      <c r="I176" t="inlineStr">
        <is>
          <t xml:space="preserve">4y ago</t>
        </is>
      </c>
      <c r="J176" t="inlineStr">
        <is>
          <t xml:space="preserve">1:50:12</t>
        </is>
      </c>
      <c r="K176" s="2" t="str">
        <f>HYPERLINK("https://www.youtube.com/watch?v=kScaJtJgHy0","https://www.youtube.com/watch?v=kScaJtJgHy0")</f>
        <v>https://www.youtube.com/watch?v=kScaJtJgHy0</v>
      </c>
      <c r="L176" t="inlineStr">
        <is>
          <t xml:space="preserve">Power Automate Advanced Tutorial Get Ad-Free Training by becoming a member today!</t>
        </is>
      </c>
      <c r="M176" t="inlineStr">
        <is>
          <t xml:space="preserve">power automate advanced tutorial</t>
        </is>
      </c>
    </row>
    <row r="177">
      <c r="A177" s="3">
        <v>176</v>
      </c>
      <c r="B177" t="inlineStr">
        <is>
          <t xml:space="preserve">Video</t>
        </is>
      </c>
      <c r="C177" t="inlineStr">
        <is>
          <t xml:space="preserve">English</t>
        </is>
      </c>
      <c r="D177" t="inlineStr">
        <is>
          <t xml:space="preserve">Tutorial</t>
        </is>
      </c>
      <c r="E177" t="inlineStr">
        <is>
          <t xml:space="preserve">Desktop/RPA, Excel</t>
        </is>
      </c>
      <c r="F177" t="inlineStr">
        <is>
          <t xml:space="preserve">Power Automate Desktop : Module 3 : Excel Automation - 1 (Launch Excel, Read from Excel,Close Excel)</t>
        </is>
      </c>
      <c r="G177" t="inlineStr">
        <is>
          <t xml:space="preserve">Learn RPA &amp; AI Technologies every day</t>
        </is>
      </c>
      <c r="H177" s="3">
        <v>117166</v>
      </c>
      <c r="I177" t="inlineStr">
        <is>
          <t xml:space="preserve">5y ago</t>
        </is>
      </c>
      <c r="J177" t="inlineStr">
        <is>
          <t xml:space="preserve">20:42</t>
        </is>
      </c>
      <c r="K177" s="2" t="str">
        <f>HYPERLINK("https://www.youtube.com/watch?v=OyfRLYdmbEc","https://www.youtube.com/watch?v=OyfRLYdmbEc")</f>
        <v>https://www.youtube.com/watch?v=OyfRLYdmbEc</v>
      </c>
      <c r="L177" t="inlineStr">
        <is>
          <t xml:space="preserve">powerAutomatedesktop #microsoftpowerAutomatedesktop #powerAutomate #microsoftpowerAutomate #RPA In this Module, we ...</t>
        </is>
      </c>
      <c r="M177" t="inlineStr">
        <is>
          <t xml:space="preserve">power automate excel automation</t>
        </is>
      </c>
    </row>
    <row r="178">
      <c r="A178" s="3">
        <v>177</v>
      </c>
      <c r="B178" t="inlineStr">
        <is>
          <t xml:space="preserve">Video</t>
        </is>
      </c>
      <c r="C178" t="inlineStr">
        <is>
          <t xml:space="preserve">English</t>
        </is>
      </c>
      <c r="D178" t="inlineStr">
        <is>
          <t xml:space="preserve">Tutorial</t>
        </is>
      </c>
      <c r="E178" t="inlineStr">
        <is>
          <t xml:space="preserve">Email/Outlook, Teams</t>
        </is>
      </c>
      <c r="F178" t="inlineStr">
        <is>
          <t xml:space="preserve">5 Power Automate Hacks to Save Hours Every Day!</t>
        </is>
      </c>
      <c r="G178" t="inlineStr">
        <is>
          <t xml:space="preserve">Ben Westlake</t>
        </is>
      </c>
      <c r="H178" s="3">
        <v>114886</v>
      </c>
      <c r="I178" t="inlineStr">
        <is>
          <t xml:space="preserve">1y ago</t>
        </is>
      </c>
      <c r="J178" t="inlineStr">
        <is>
          <t xml:space="preserve">0:42</t>
        </is>
      </c>
      <c r="K178" s="2" t="str">
        <f>HYPERLINK("https://www.youtube.com/watch?v=hALdG11PrnE","https://www.youtube.com/watch?v=hALdG11PrnE")</f>
        <v>https://www.youtube.com/watch?v=hALdG11PrnE</v>
      </c>
      <c r="L178" t="inlineStr">
        <is>
          <t xml:space="preserve">Save hours every day with these 5 genius Power Automate hacks! From instant Teams notifications for important emails to ...</t>
        </is>
      </c>
      <c r="M178" t="inlineStr">
        <is>
          <t xml:space="preserve">power automate advanced tutorial</t>
        </is>
      </c>
    </row>
    <row r="179">
      <c r="A179" s="3">
        <v>178</v>
      </c>
      <c r="B179" t="inlineStr">
        <is>
          <t xml:space="preserve">Video</t>
        </is>
      </c>
      <c r="C179" t="inlineStr">
        <is>
          <t xml:space="preserve">English</t>
        </is>
      </c>
      <c r="D179" t="inlineStr">
        <is>
          <t xml:space="preserve">Tutorial</t>
        </is>
      </c>
      <c r="E179" t="inlineStr">
        <is>
          <t xml:space="preserve">Approvals</t>
        </is>
      </c>
      <c r="F179" t="inlineStr">
        <is>
          <t xml:space="preserve">Flow Approval Attachments - Power Automate Tutorial</t>
        </is>
      </c>
      <c r="G179" t="inlineStr">
        <is>
          <t xml:space="preserve">Reza Dorrani</t>
        </is>
      </c>
      <c r="H179" s="3">
        <v>114354</v>
      </c>
      <c r="I179" t="inlineStr">
        <is>
          <t xml:space="preserve">5y ago</t>
        </is>
      </c>
      <c r="J179" t="inlineStr">
        <is>
          <t xml:space="preserve">29:04</t>
        </is>
      </c>
      <c r="K179" s="2" t="str">
        <f>HYPERLINK("https://www.youtube.com/watch?v=ShNhn-jSBC0","https://www.youtube.com/watch?v=ShNhn-jSBC0")</f>
        <v>https://www.youtube.com/watch?v=ShNhn-jSBC0</v>
      </c>
      <c r="L179" t="inlineStr">
        <is>
          <t xml:space="preserve">This video is a beginner's tutorial on working with the flow approval attachments feature in Power Automate. If you ever wanted to ...</t>
        </is>
      </c>
      <c r="M179" t="inlineStr">
        <is>
          <t xml:space="preserve">power automate approval workflow</t>
        </is>
      </c>
    </row>
    <row r="180">
      <c r="A180" s="3">
        <v>179</v>
      </c>
      <c r="B180" t="inlineStr">
        <is>
          <t xml:space="preserve">Video</t>
        </is>
      </c>
      <c r="C180" t="inlineStr">
        <is>
          <t xml:space="preserve">English</t>
        </is>
      </c>
      <c r="D180" t="inlineStr">
        <is>
          <t xml:space="preserve">Tutorial</t>
        </is>
      </c>
      <c r="E180" t="inlineStr">
        <is>
          <t xml:space="preserve">Approvals</t>
        </is>
      </c>
      <c r="F180" t="inlineStr">
        <is>
          <t xml:space="preserve">Easy Sequential Approvals in Power Automate | Beginner's Tutorial</t>
        </is>
      </c>
      <c r="G180" t="inlineStr">
        <is>
          <t xml:space="preserve">Reza Dorrani</t>
        </is>
      </c>
      <c r="H180" s="3">
        <v>112663</v>
      </c>
      <c r="I180" t="inlineStr">
        <is>
          <t xml:space="preserve">2y ago</t>
        </is>
      </c>
      <c r="J180" t="inlineStr">
        <is>
          <t xml:space="preserve">17:18</t>
        </is>
      </c>
      <c r="K180" s="2" t="str">
        <f>HYPERLINK("https://www.youtube.com/watch?v=F819U_l07qI","https://www.youtube.com/watch?v=F819U_l07qI")</f>
        <v>https://www.youtube.com/watch?v=F819U_l07qI</v>
      </c>
      <c r="L180" t="inlineStr">
        <is>
          <t xml:space="preserve">In this Power Automate Approvals beginner's tutorial, I'll guide you through building a Sequential Approval Workflow Process ...</t>
        </is>
      </c>
      <c r="M180" t="inlineStr">
        <is>
          <t xml:space="preserve">power automate approval workflow</t>
        </is>
      </c>
    </row>
    <row r="181">
      <c r="A181" s="3">
        <v>180</v>
      </c>
      <c r="B181" t="inlineStr">
        <is>
          <t xml:space="preserve">Video</t>
        </is>
      </c>
      <c r="C181" t="inlineStr">
        <is>
          <t xml:space="preserve">English</t>
        </is>
      </c>
      <c r="D181" t="inlineStr">
        <is>
          <t xml:space="preserve">Tutorial</t>
        </is>
      </c>
      <c r="E181" t="inlineStr">
        <is>
          <t xml:space="preserve">SharePoint, Email/Outlook</t>
        </is>
      </c>
      <c r="F181" t="inlineStr">
        <is>
          <t xml:space="preserve">Send Automatic Emails When a New SharePoint Item Is Created</t>
        </is>
      </c>
      <c r="G181" t="inlineStr">
        <is>
          <t xml:space="preserve">Michael Alex</t>
        </is>
      </c>
      <c r="H181" s="3">
        <v>112311</v>
      </c>
      <c r="I181" t="inlineStr">
        <is>
          <t xml:space="preserve">4y ago</t>
        </is>
      </c>
      <c r="J181" t="inlineStr">
        <is>
          <t xml:space="preserve">6:03</t>
        </is>
      </c>
      <c r="K181" s="2" t="str">
        <f>HYPERLINK("https://www.youtube.com/watch?v=AofAAZeCGMA","https://www.youtube.com/watch?v=AofAAZeCGMA")</f>
        <v>https://www.youtube.com/watch?v=AofAAZeCGMA</v>
      </c>
      <c r="L181" t="inlineStr">
        <is>
          <t xml:space="preserve">Want to automatically send emails whenever a new item is added to a SharePoint list? In this step-by-step Power Automate ...</t>
        </is>
      </c>
      <c r="M181" t="inlineStr">
        <is>
          <t xml:space="preserve">power automate sharepoint automation</t>
        </is>
      </c>
    </row>
    <row r="182">
      <c r="A182" s="3">
        <v>181</v>
      </c>
      <c r="B182" t="inlineStr">
        <is>
          <t xml:space="preserve">Video</t>
        </is>
      </c>
      <c r="C182" t="inlineStr">
        <is>
          <t xml:space="preserve">English</t>
        </is>
      </c>
      <c r="D182" t="inlineStr">
        <is>
          <t xml:space="preserve">Tutorial</t>
        </is>
      </c>
      <c r="E182" t="inlineStr">
        <is>
          <t xml:space="preserve">Desktop/RPA, Web automation</t>
        </is>
      </c>
      <c r="F182" t="inlineStr">
        <is>
          <t xml:space="preserve">Web Automation in Power Automate for Desktop (Full Tutorial)</t>
        </is>
      </c>
      <c r="G182" t="inlineStr">
        <is>
          <t xml:space="preserve">Anders Jensen</t>
        </is>
      </c>
      <c r="H182" s="3">
        <v>107448</v>
      </c>
      <c r="I182" t="inlineStr">
        <is>
          <t xml:space="preserve">4y ago</t>
        </is>
      </c>
      <c r="J182" t="inlineStr">
        <is>
          <t xml:space="preserve">18:51</t>
        </is>
      </c>
      <c r="K182" s="2" t="str">
        <f>HYPERLINK("https://www.youtube.com/watch?v=wm7B_N2eSYY","https://www.youtube.com/watch?v=wm7B_N2eSYY")</f>
        <v>https://www.youtube.com/watch?v=wm7B_N2eSYY</v>
      </c>
      <c r="L182" t="inlineStr">
        <is>
          <t xml:space="preserve">This video tutorial shows how to do web automation in Microsoft Power Automate for Desktop. You'll learn how to work with ...</t>
        </is>
      </c>
      <c r="M182" t="inlineStr">
        <is>
          <t xml:space="preserve">power automate desktop</t>
        </is>
      </c>
    </row>
    <row r="183">
      <c r="A183" s="3">
        <v>182</v>
      </c>
      <c r="B183" t="inlineStr">
        <is>
          <t xml:space="preserve">Video</t>
        </is>
      </c>
      <c r="C183" t="inlineStr">
        <is>
          <t xml:space="preserve">English</t>
        </is>
      </c>
      <c r="D183" t="inlineStr">
        <is>
          <t xml:space="preserve">Tutorial</t>
        </is>
      </c>
      <c r="E183" t="inlineStr">
        <is>
          <t xml:space="preserve"/>
        </is>
      </c>
      <c r="F183" t="inlineStr">
        <is>
          <t xml:space="preserve">Microsoft New Power Automate! Software Make Your Computer Automatic For All Your Task PC into Robot</t>
        </is>
      </c>
      <c r="G183" t="inlineStr">
        <is>
          <t xml:space="preserve">Adi 4 u</t>
        </is>
      </c>
      <c r="H183" s="3">
        <v>99742</v>
      </c>
      <c r="I183" t="inlineStr">
        <is>
          <t xml:space="preserve">5y ago</t>
        </is>
      </c>
      <c r="J183" t="inlineStr">
        <is>
          <t xml:space="preserve">8:17</t>
        </is>
      </c>
      <c r="K183" s="2" t="str">
        <f>HYPERLINK("https://www.youtube.com/watch?v=OfC3QOWww6M","https://www.youtube.com/watch?v=OfC3QOWww6M")</f>
        <v>https://www.youtube.com/watch?v=OfC3QOWww6M</v>
      </c>
      <c r="L183" t="inlineStr">
        <is>
          <t xml:space="preserve">Microsoft Released Power Automate the software that is able to do all your daily bases Task Just in one click, yes it is possible the ...</t>
        </is>
      </c>
      <c r="M183" t="inlineStr">
        <is>
          <t xml:space="preserve">power automate desktop hindi ; power automate project hindi ; power automate hindi ; power automate bangla ; power automate desktop bangla ; microsoft power automate bangla tutorial ; পাওয়ার অটোমেট ; power automate in hindi</t>
        </is>
      </c>
    </row>
    <row r="184">
      <c r="A184" s="3">
        <v>183</v>
      </c>
      <c r="B184" t="inlineStr">
        <is>
          <t xml:space="preserve">Video</t>
        </is>
      </c>
      <c r="C184" t="inlineStr">
        <is>
          <t xml:space="preserve">English</t>
        </is>
      </c>
      <c r="D184" t="inlineStr">
        <is>
          <t xml:space="preserve">Tutorial</t>
        </is>
      </c>
      <c r="E184" t="inlineStr">
        <is>
          <t xml:space="preserve">AI/Copilot</t>
        </is>
      </c>
      <c r="F184" t="inlineStr">
        <is>
          <t xml:space="preserve">AI Builder Overview</t>
        </is>
      </c>
      <c r="G184" t="inlineStr">
        <is>
          <t xml:space="preserve">Microsoft Power Platform</t>
        </is>
      </c>
      <c r="H184" s="3">
        <v>99492</v>
      </c>
      <c r="I184" t="inlineStr">
        <is>
          <t xml:space="preserve">4y ago</t>
        </is>
      </c>
      <c r="J184" t="inlineStr">
        <is>
          <t xml:space="preserve">1:24</t>
        </is>
      </c>
      <c r="K184" s="2" t="str">
        <f>HYPERLINK("https://www.youtube.com/watch?v=F7JU14eVpLg","https://www.youtube.com/watch?v=F7JU14eVpLg")</f>
        <v>https://www.youtube.com/watch?v=F7JU14eVpLg</v>
      </c>
      <c r="L184" t="inlineStr">
        <is>
          <t xml:space="preserve">AI Builder is a Microsoft Power Platform capability that provides AI models that are designed to optimize your business processes.</t>
        </is>
      </c>
      <c r="M184" t="inlineStr">
        <is>
          <t xml:space="preserve">power automate AI builder</t>
        </is>
      </c>
    </row>
    <row r="185">
      <c r="A185" s="3">
        <v>184</v>
      </c>
      <c r="B185" t="inlineStr">
        <is>
          <t xml:space="preserve">Video</t>
        </is>
      </c>
      <c r="C185" t="inlineStr">
        <is>
          <t xml:space="preserve">English</t>
        </is>
      </c>
      <c r="D185" t="inlineStr">
        <is>
          <t xml:space="preserve">Tutorial</t>
        </is>
      </c>
      <c r="E185" t="inlineStr">
        <is>
          <t xml:space="preserve">Excel, Email/Outlook</t>
        </is>
      </c>
      <c r="F185" t="inlineStr">
        <is>
          <t xml:space="preserve">Email Excel Reports with Power Automate &amp; Office Scrips - One Click Automation 🤖</t>
        </is>
      </c>
      <c r="G185" t="inlineStr">
        <is>
          <t xml:space="preserve">Chandoo</t>
        </is>
      </c>
      <c r="H185" s="3">
        <v>90586</v>
      </c>
      <c r="I185" t="inlineStr">
        <is>
          <t xml:space="preserve">3y ago</t>
        </is>
      </c>
      <c r="J185" t="inlineStr">
        <is>
          <t xml:space="preserve">33:27</t>
        </is>
      </c>
      <c r="K185" s="2" t="str">
        <f>HYPERLINK("https://www.youtube.com/watch?v=eeCqaokSSoQ","https://www.youtube.com/watch?v=eeCqaokSSoQ")</f>
        <v>https://www.youtube.com/watch?v=eeCqaokSSoQ</v>
      </c>
      <c r="L185" t="inlineStr">
        <is>
          <t xml:space="preserve">Ever wanted to send an email of your Excel report to the relevant people with a single click? In this video, let me show you how we ...</t>
        </is>
      </c>
      <c r="M185" t="inlineStr">
        <is>
          <t xml:space="preserve">power automate excel automation</t>
        </is>
      </c>
    </row>
    <row r="186">
      <c r="A186" s="3">
        <v>185</v>
      </c>
      <c r="B186" t="inlineStr">
        <is>
          <t xml:space="preserve">Video</t>
        </is>
      </c>
      <c r="C186" t="inlineStr">
        <is>
          <t xml:space="preserve">English</t>
        </is>
      </c>
      <c r="D186" t="inlineStr">
        <is>
          <t xml:space="preserve">Tutorial</t>
        </is>
      </c>
      <c r="E186" t="inlineStr">
        <is>
          <t xml:space="preserve">SharePoint</t>
        </is>
      </c>
      <c r="F186" t="inlineStr">
        <is>
          <t xml:space="preserve">Leave Request Form with SharePoint and Power Automate in under 10 minutes</t>
        </is>
      </c>
      <c r="G186" t="inlineStr">
        <is>
          <t xml:space="preserve">SharePointPro</t>
        </is>
      </c>
      <c r="H186" s="3">
        <v>81082</v>
      </c>
      <c r="I186" t="inlineStr">
        <is>
          <t xml:space="preserve">4y ago</t>
        </is>
      </c>
      <c r="J186" t="inlineStr">
        <is>
          <t xml:space="preserve">10:46</t>
        </is>
      </c>
      <c r="K186" s="2" t="str">
        <f>HYPERLINK("https://www.youtube.com/watch?v=-M95A3vImBw","https://www.youtube.com/watch?v=-M95A3vImBw")</f>
        <v>https://www.youtube.com/watch?v=-M95A3vImBw</v>
      </c>
      <c r="L186" t="inlineStr">
        <is>
          <t xml:space="preserve">I take you how to make a leave request form in under 10minutes, using SharePoint and Power Automate. You can see the MS ...</t>
        </is>
      </c>
      <c r="M186" t="inlineStr">
        <is>
          <t xml:space="preserve">power automate sharepoint automation</t>
        </is>
      </c>
    </row>
    <row r="187">
      <c r="A187" s="3">
        <v>186</v>
      </c>
      <c r="B187" t="inlineStr">
        <is>
          <t xml:space="preserve">Video</t>
        </is>
      </c>
      <c r="C187" t="inlineStr">
        <is>
          <t xml:space="preserve">English</t>
        </is>
      </c>
      <c r="D187" t="inlineStr">
        <is>
          <t xml:space="preserve">Tutorial</t>
        </is>
      </c>
      <c r="E187" t="inlineStr">
        <is>
          <t xml:space="preserve">Desktop/RPA</t>
        </is>
      </c>
      <c r="F187" t="inlineStr">
        <is>
          <t xml:space="preserve">Power Automate Desktop: Best Practices for Advanced Users</t>
        </is>
      </c>
      <c r="G187" t="inlineStr">
        <is>
          <t xml:space="preserve">Anders Jensen</t>
        </is>
      </c>
      <c r="H187" s="3">
        <v>80542</v>
      </c>
      <c r="I187" t="inlineStr">
        <is>
          <t xml:space="preserve">3y ago</t>
        </is>
      </c>
      <c r="J187" t="inlineStr">
        <is>
          <t xml:space="preserve">2:07:19</t>
        </is>
      </c>
      <c r="K187" s="2" t="str">
        <f>HYPERLINK("https://www.youtube.com/watch?v=QjrxLPg_TdI","https://www.youtube.com/watch?v=QjrxLPg_TdI")</f>
        <v>https://www.youtube.com/watch?v=QjrxLPg_TdI</v>
      </c>
      <c r="L187" t="inlineStr">
        <is>
          <t xml:space="preserve">A Power Automate Desktop flow that handles errors, logs in real time and runs from a work queue: These best practices for ...</t>
        </is>
      </c>
      <c r="M187" t="inlineStr">
        <is>
          <t xml:space="preserve">power automate advanced tutorial ; power automate desktop</t>
        </is>
      </c>
    </row>
    <row r="188">
      <c r="A188" s="3">
        <v>187</v>
      </c>
      <c r="B188" t="inlineStr">
        <is>
          <t xml:space="preserve">Video</t>
        </is>
      </c>
      <c r="C188" t="inlineStr">
        <is>
          <t xml:space="preserve">English</t>
        </is>
      </c>
      <c r="D188" t="inlineStr">
        <is>
          <t xml:space="preserve">Tutorial</t>
        </is>
      </c>
      <c r="E188" t="inlineStr">
        <is>
          <t xml:space="preserve">Cloud flows</t>
        </is>
      </c>
      <c r="F188" t="inlineStr">
        <is>
          <t xml:space="preserve">How to Learn Microsoft Power Automate - Full Tutorial</t>
        </is>
      </c>
      <c r="G188" t="inlineStr">
        <is>
          <t xml:space="preserve">Anders Jensen</t>
        </is>
      </c>
      <c r="H188" s="3">
        <v>76080</v>
      </c>
      <c r="I188" t="inlineStr">
        <is>
          <t xml:space="preserve">4y ago</t>
        </is>
      </c>
      <c r="J188" t="inlineStr">
        <is>
          <t xml:space="preserve">46:27</t>
        </is>
      </c>
      <c r="K188" s="2" t="str">
        <f>HYPERLINK("https://www.youtube.com/watch?v=YVr2JgODps0","https://www.youtube.com/watch?v=YVr2JgODps0")</f>
        <v>https://www.youtube.com/watch?v=YVr2JgODps0</v>
      </c>
      <c r="L188" t="inlineStr">
        <is>
          <t xml:space="preserve">If you have never built a flow and want to know how to learn Microsoft Power Automate, this full tutorial builds two cloud flows step ...</t>
        </is>
      </c>
      <c r="M188" t="inlineStr">
        <is>
          <t xml:space="preserve">power automate full course</t>
        </is>
      </c>
    </row>
    <row r="189">
      <c r="A189" s="3">
        <v>188</v>
      </c>
      <c r="B189" t="inlineStr">
        <is>
          <t xml:space="preserve">Video</t>
        </is>
      </c>
      <c r="C189" t="inlineStr">
        <is>
          <t xml:space="preserve">English</t>
        </is>
      </c>
      <c r="D189" t="inlineStr">
        <is>
          <t xml:space="preserve">Tutorial</t>
        </is>
      </c>
      <c r="E189" t="inlineStr">
        <is>
          <t xml:space="preserve">Desktop/RPA, Excel, Email/Outlook</t>
        </is>
      </c>
      <c r="F189" t="inlineStr">
        <is>
          <t xml:space="preserve">Outlook Emails in Power Automate Desktop - Full Tutorial</t>
        </is>
      </c>
      <c r="G189" t="inlineStr">
        <is>
          <t xml:space="preserve">Anders Jensen</t>
        </is>
      </c>
      <c r="H189" s="3">
        <v>74054</v>
      </c>
      <c r="I189" t="inlineStr">
        <is>
          <t xml:space="preserve">3y ago</t>
        </is>
      </c>
      <c r="J189" t="inlineStr">
        <is>
          <t xml:space="preserve">33:10</t>
        </is>
      </c>
      <c r="K189" s="2" t="str">
        <f>HYPERLINK("https://www.youtube.com/watch?v=x5l7Ow7s5Lo","https://www.youtube.com/watch?v=x5l7Ow7s5Lo")</f>
        <v>https://www.youtube.com/watch?v=x5l7Ow7s5Lo</v>
      </c>
      <c r="L189" t="inlineStr">
        <is>
          <t xml:space="preserve">Extract Outlook emails in Power Automate Desktop, write date, sender, subject and body to Excel, and save the attachments in ...</t>
        </is>
      </c>
      <c r="M189" t="inlineStr">
        <is>
          <t xml:space="preserve">power automate email automation outlook</t>
        </is>
      </c>
    </row>
    <row r="190">
      <c r="A190" s="3">
        <v>189</v>
      </c>
      <c r="B190" t="inlineStr">
        <is>
          <t xml:space="preserve">Video</t>
        </is>
      </c>
      <c r="C190" t="inlineStr">
        <is>
          <t xml:space="preserve">English</t>
        </is>
      </c>
      <c r="D190" t="inlineStr">
        <is>
          <t xml:space="preserve">Tutorial</t>
        </is>
      </c>
      <c r="E190" t="inlineStr">
        <is>
          <t xml:space="preserve">Excel</t>
        </is>
      </c>
      <c r="F190" t="inlineStr">
        <is>
          <t xml:space="preserve">Excel in Microsoft Power Automate - Beginners Tutorial</t>
        </is>
      </c>
      <c r="G190" t="inlineStr">
        <is>
          <t xml:space="preserve">Anders Jensen</t>
        </is>
      </c>
      <c r="H190" s="3">
        <v>72939</v>
      </c>
      <c r="I190" t="inlineStr">
        <is>
          <t xml:space="preserve">3y ago</t>
        </is>
      </c>
      <c r="J190" t="inlineStr">
        <is>
          <t xml:space="preserve">1:19:44</t>
        </is>
      </c>
      <c r="K190" s="2" t="str">
        <f>HYPERLINK("https://www.youtube.com/watch?v=PlCnYDkbw3I","https://www.youtube.com/watch?v=PlCnYDkbw3I")</f>
        <v>https://www.youtube.com/watch?v=PlCnYDkbw3I</v>
      </c>
      <c r="L190" t="inlineStr">
        <is>
          <t xml:space="preserve">This video tutorial shows how to update Excel with Microsoft Power Automate. Learn how to update multiple sheets ...</t>
        </is>
      </c>
      <c r="M190" t="inlineStr">
        <is>
          <t xml:space="preserve">power automate excel automation</t>
        </is>
      </c>
    </row>
    <row r="191">
      <c r="A191" s="3">
        <v>190</v>
      </c>
      <c r="B191" t="inlineStr">
        <is>
          <t xml:space="preserve">Video</t>
        </is>
      </c>
      <c r="C191" t="inlineStr">
        <is>
          <t xml:space="preserve">English</t>
        </is>
      </c>
      <c r="D191" t="inlineStr">
        <is>
          <t xml:space="preserve">Tutorial</t>
        </is>
      </c>
      <c r="E191" t="inlineStr">
        <is>
          <t xml:space="preserve">Email/Outlook</t>
        </is>
      </c>
      <c r="F191" t="inlineStr">
        <is>
          <t xml:space="preserve">Outlook Emails in Microsoft Power Automate - Beginners Tutorial</t>
        </is>
      </c>
      <c r="G191" t="inlineStr">
        <is>
          <t xml:space="preserve">Anders Jensen</t>
        </is>
      </c>
      <c r="H191" s="3">
        <v>68726</v>
      </c>
      <c r="I191" t="inlineStr">
        <is>
          <t xml:space="preserve">3y ago</t>
        </is>
      </c>
      <c r="J191" t="inlineStr">
        <is>
          <t xml:space="preserve">24:08</t>
        </is>
      </c>
      <c r="K191" s="2" t="str">
        <f>HYPERLINK("https://www.youtube.com/watch?v=de6us7ssF5w","https://www.youtube.com/watch?v=de6us7ssF5w")</f>
        <v>https://www.youtube.com/watch?v=de6us7ssF5w</v>
      </c>
      <c r="L191" t="inlineStr">
        <is>
          <t xml:space="preserve">This video tutorial shows how to automate Outlook emails with Microsoft Power Automate. You'll learn how to receive emails, save ...</t>
        </is>
      </c>
      <c r="M191" t="inlineStr">
        <is>
          <t xml:space="preserve">power automate email automation outlook</t>
        </is>
      </c>
    </row>
    <row r="192">
      <c r="A192" s="3">
        <v>191</v>
      </c>
      <c r="B192" t="inlineStr">
        <is>
          <t xml:space="preserve">Video</t>
        </is>
      </c>
      <c r="C192" t="inlineStr">
        <is>
          <t xml:space="preserve">English</t>
        </is>
      </c>
      <c r="D192" t="inlineStr">
        <is>
          <t xml:space="preserve">Tutorial</t>
        </is>
      </c>
      <c r="E192" t="inlineStr">
        <is>
          <t xml:space="preserve">AI/Copilot</t>
        </is>
      </c>
      <c r="F192" t="inlineStr">
        <is>
          <t xml:space="preserve">Document Processing with AI Builder in Power Automate</t>
        </is>
      </c>
      <c r="G192" t="inlineStr">
        <is>
          <t xml:space="preserve">Anders Jensen</t>
        </is>
      </c>
      <c r="H192" s="3">
        <v>64926</v>
      </c>
      <c r="I192" t="inlineStr">
        <is>
          <t xml:space="preserve">Streamed 4y ago</t>
        </is>
      </c>
      <c r="J192" t="inlineStr">
        <is>
          <t xml:space="preserve">1:06:31</t>
        </is>
      </c>
      <c r="K192" s="2" t="str">
        <f>HYPERLINK("https://www.youtube.com/watch?v=tmxvLAT3C7s","https://www.youtube.com/watch?v=tmxvLAT3C7s")</f>
        <v>https://www.youtube.com/watch?v=tmxvLAT3C7s</v>
      </c>
      <c r="L192" t="inlineStr">
        <is>
          <t xml:space="preserve">Learn how to use the AI Builder in Microsoft Power Automate. Today's live showcase is about easily doing document processing ...</t>
        </is>
      </c>
      <c r="M192" t="inlineStr">
        <is>
          <t xml:space="preserve">power automate AI builder</t>
        </is>
      </c>
    </row>
    <row r="193">
      <c r="A193" s="3">
        <v>192</v>
      </c>
      <c r="B193" t="inlineStr">
        <is>
          <t xml:space="preserve">Video</t>
        </is>
      </c>
      <c r="C193" t="inlineStr">
        <is>
          <t xml:space="preserve">English</t>
        </is>
      </c>
      <c r="D193" t="inlineStr">
        <is>
          <t xml:space="preserve">Tutorial</t>
        </is>
      </c>
      <c r="E193" t="inlineStr">
        <is>
          <t xml:space="preserve">AI/Copilot</t>
        </is>
      </c>
      <c r="F193" t="inlineStr">
        <is>
          <t xml:space="preserve">Power Automate Copilot demo</t>
        </is>
      </c>
      <c r="G193" t="inlineStr">
        <is>
          <t xml:space="preserve">Microsoft Power Platform</t>
        </is>
      </c>
      <c r="H193" s="3">
        <v>56370</v>
      </c>
      <c r="I193" t="inlineStr">
        <is>
          <t xml:space="preserve">3y ago</t>
        </is>
      </c>
      <c r="J193" t="inlineStr">
        <is>
          <t xml:space="preserve">4:32</t>
        </is>
      </c>
      <c r="K193" s="2" t="str">
        <f>HYPERLINK("https://www.youtube.com/watch?v=Xu-d3CuhCoc","https://www.youtube.com/watch?v=Xu-d3CuhCoc")</f>
        <v>https://www.youtube.com/watch?v=Xu-d3CuhCoc</v>
      </c>
      <c r="L193" t="inlineStr">
        <is>
          <t xml:space="preserve">How to use Power Automate copilot to describe what you need in order to quickly and easily create an automation. Learn more ...</t>
        </is>
      </c>
      <c r="M193" t="inlineStr">
        <is>
          <t xml:space="preserve">power automate copilot</t>
        </is>
      </c>
    </row>
    <row r="194">
      <c r="A194" s="3">
        <v>193</v>
      </c>
      <c r="B194" t="inlineStr">
        <is>
          <t xml:space="preserve">Video</t>
        </is>
      </c>
      <c r="C194" t="inlineStr">
        <is>
          <t xml:space="preserve">English</t>
        </is>
      </c>
      <c r="D194" t="inlineStr">
        <is>
          <t xml:space="preserve">Tutorial</t>
        </is>
      </c>
      <c r="E194" t="inlineStr">
        <is>
          <t xml:space="preserve">Desktop/RPA</t>
        </is>
      </c>
      <c r="F194" t="inlineStr">
        <is>
          <t xml:space="preserve">Power Automate Desktop Introduction - tutorial</t>
        </is>
      </c>
      <c r="G194" t="inlineStr">
        <is>
          <t xml:space="preserve">Reza Dorrani</t>
        </is>
      </c>
      <c r="H194" s="3">
        <v>54213</v>
      </c>
      <c r="I194" t="inlineStr">
        <is>
          <t xml:space="preserve">5y ago</t>
        </is>
      </c>
      <c r="J194" t="inlineStr">
        <is>
          <t xml:space="preserve">20:24</t>
        </is>
      </c>
      <c r="K194" s="2" t="str">
        <f>HYPERLINK("https://www.youtube.com/watch?v=z19CAWq1tK8","https://www.youtube.com/watch?v=z19CAWq1tK8")</f>
        <v>https://www.youtube.com/watch?v=z19CAWq1tK8</v>
      </c>
      <c r="L194" t="inlineStr">
        <is>
          <t xml:space="preserve">In this step-by-step tutorial on Power Automate Desktop, we will learn how to use Microsoft Power Automate Desktop to perform ...</t>
        </is>
      </c>
      <c r="M194" t="inlineStr">
        <is>
          <t xml:space="preserve">power automate desktop</t>
        </is>
      </c>
    </row>
    <row r="195">
      <c r="A195" s="3">
        <v>194</v>
      </c>
      <c r="B195" t="inlineStr">
        <is>
          <t xml:space="preserve">Video</t>
        </is>
      </c>
      <c r="C195" t="inlineStr">
        <is>
          <t xml:space="preserve">English</t>
        </is>
      </c>
      <c r="D195" t="inlineStr">
        <is>
          <t xml:space="preserve">Tutorial</t>
        </is>
      </c>
      <c r="E195" t="inlineStr">
        <is>
          <t xml:space="preserve">Desktop/RPA, AI/Copilot</t>
        </is>
      </c>
      <c r="F195" t="inlineStr">
        <is>
          <t xml:space="preserve">AI Agents (The most INSANE Power Automate Desktop update)</t>
        </is>
      </c>
      <c r="G195" t="inlineStr">
        <is>
          <t xml:space="preserve">Anders Jensen</t>
        </is>
      </c>
      <c r="H195" s="3">
        <v>51145</v>
      </c>
      <c r="I195" t="inlineStr">
        <is>
          <t xml:space="preserve">2y ago</t>
        </is>
      </c>
      <c r="J195" t="inlineStr">
        <is>
          <t xml:space="preserve">18:52</t>
        </is>
      </c>
      <c r="K195" s="2" t="str">
        <f>HYPERLINK("https://www.youtube.com/watch?v=0Q7MLa_5R6I","https://www.youtube.com/watch?v=0Q7MLa_5R6I")</f>
        <v>https://www.youtube.com/watch?v=0Q7MLa_5R6I</v>
      </c>
      <c r="L195" t="inlineStr">
        <is>
          <t xml:space="preserve">This video tutorial teaches you how to use the new AI agent features in Microsoft Power Automate Desktop. We dive into the latest ...</t>
        </is>
      </c>
      <c r="M195" t="inlineStr">
        <is>
          <t xml:space="preserve">power automate desktop project</t>
        </is>
      </c>
    </row>
    <row r="196">
      <c r="A196" s="3">
        <v>195</v>
      </c>
      <c r="B196" t="inlineStr">
        <is>
          <t xml:space="preserve">Video</t>
        </is>
      </c>
      <c r="C196" t="inlineStr">
        <is>
          <t xml:space="preserve">English</t>
        </is>
      </c>
      <c r="D196" t="inlineStr">
        <is>
          <t xml:space="preserve">Tutorial</t>
        </is>
      </c>
      <c r="E196" t="inlineStr">
        <is>
          <t xml:space="preserve">Email/Outlook</t>
        </is>
      </c>
      <c r="F196" t="inlineStr">
        <is>
          <t xml:space="preserve">How to send email from a SHARED mailbox with Power Automate</t>
        </is>
      </c>
      <c r="G196" t="inlineStr">
        <is>
          <t xml:space="preserve">Christine Payton</t>
        </is>
      </c>
      <c r="H196" s="3">
        <v>44655</v>
      </c>
      <c r="I196" t="inlineStr">
        <is>
          <t xml:space="preserve">3y ago</t>
        </is>
      </c>
      <c r="J196" t="inlineStr">
        <is>
          <t xml:space="preserve">4:24</t>
        </is>
      </c>
      <c r="K196" s="2" t="str">
        <f>HYPERLINK("https://www.youtube.com/watch?v=PrVd-f4-m0w","https://www.youtube.com/watch?v=PrVd-f4-m0w")</f>
        <v>https://www.youtube.com/watch?v=PrVd-f4-m0w</v>
      </c>
      <c r="L196" t="inlineStr">
        <is>
          <t xml:space="preserve">Sending emails from a shared mailbox adds polish to your Power Automate workflows! Here's how to configure the permissions ...</t>
        </is>
      </c>
      <c r="M196" t="inlineStr">
        <is>
          <t xml:space="preserve">power automate email automation outlook</t>
        </is>
      </c>
    </row>
    <row r="197">
      <c r="A197" s="3">
        <v>196</v>
      </c>
      <c r="B197" t="inlineStr">
        <is>
          <t xml:space="preserve">Video</t>
        </is>
      </c>
      <c r="C197" t="inlineStr">
        <is>
          <t xml:space="preserve">English</t>
        </is>
      </c>
      <c r="D197" t="inlineStr">
        <is>
          <t xml:space="preserve">Tutorial</t>
        </is>
      </c>
      <c r="E197" t="inlineStr">
        <is>
          <t xml:space="preserve">SharePoint, Email/Outlook</t>
        </is>
      </c>
      <c r="F197" t="inlineStr">
        <is>
          <t xml:space="preserve">Save Outlook Emails &amp; Attachments to SharePoint using PowerAutomate #sharepoint #outlook #flow</t>
        </is>
      </c>
      <c r="G197" t="inlineStr">
        <is>
          <t xml:space="preserve">Deepak Shrivastava</t>
        </is>
      </c>
      <c r="H197" s="3">
        <v>38002</v>
      </c>
      <c r="I197" t="inlineStr">
        <is>
          <t xml:space="preserve">2y ago</t>
        </is>
      </c>
      <c r="J197" t="inlineStr">
        <is>
          <t xml:space="preserve">9:44</t>
        </is>
      </c>
      <c r="K197" s="2" t="str">
        <f>HYPERLINK("https://www.youtube.com/watch?v=Co5oar7d4Qc","https://www.youtube.com/watch?v=Co5oar7d4Qc")</f>
        <v>https://www.youtube.com/watch?v=Co5oar7d4Qc</v>
      </c>
      <c r="L197" t="inlineStr">
        <is>
          <t xml:space="preserve">In this video I will show you how to save outlook emails and its attachments directly to SharePoint using Power Automate.</t>
        </is>
      </c>
      <c r="M197" t="inlineStr">
        <is>
          <t xml:space="preserve">power automate email automation outlook</t>
        </is>
      </c>
    </row>
    <row r="198">
      <c r="A198" s="3">
        <v>197</v>
      </c>
      <c r="B198" t="inlineStr">
        <is>
          <t xml:space="preserve">Video</t>
        </is>
      </c>
      <c r="C198" t="inlineStr">
        <is>
          <t xml:space="preserve">English</t>
        </is>
      </c>
      <c r="D198" t="inlineStr">
        <is>
          <t xml:space="preserve">Tutorial</t>
        </is>
      </c>
      <c r="E198" t="inlineStr">
        <is>
          <t xml:space="preserve">Approvals</t>
        </is>
      </c>
      <c r="F198" t="inlineStr">
        <is>
          <t xml:space="preserve">Track Pending Approvals in Power Automate &amp; Send Reminders | Reusable Workflow</t>
        </is>
      </c>
      <c r="G198" t="inlineStr">
        <is>
          <t xml:space="preserve">Reza Dorrani</t>
        </is>
      </c>
      <c r="H198" s="3">
        <v>37626</v>
      </c>
      <c r="I198" t="inlineStr">
        <is>
          <t xml:space="preserve">1y ago</t>
        </is>
      </c>
      <c r="J198" t="inlineStr">
        <is>
          <t xml:space="preserve">22:47</t>
        </is>
      </c>
      <c r="K198" s="2" t="str">
        <f>HYPERLINK("https://www.youtube.com/watch?v=RD74hzxWoVg","https://www.youtube.com/watch?v=RD74hzxWoVg")</f>
        <v>https://www.youtube.com/watch?v=RD74hzxWoVg</v>
      </c>
      <c r="L198" t="inlineStr">
        <is>
          <t xml:space="preserve">Power Automate Approvals – Struggling to track pending approvals? Learn how to identify which approvers are holding things up ...</t>
        </is>
      </c>
      <c r="M198" t="inlineStr">
        <is>
          <t xml:space="preserve">power automate approval workflow</t>
        </is>
      </c>
    </row>
    <row r="199">
      <c r="A199" s="3">
        <v>198</v>
      </c>
      <c r="B199" t="inlineStr">
        <is>
          <t xml:space="preserve">Video</t>
        </is>
      </c>
      <c r="C199" t="inlineStr">
        <is>
          <t xml:space="preserve">English</t>
        </is>
      </c>
      <c r="D199" t="inlineStr">
        <is>
          <t xml:space="preserve">Tutorial</t>
        </is>
      </c>
      <c r="E199" t="inlineStr">
        <is>
          <t xml:space="preserve">AI/Copilot</t>
        </is>
      </c>
      <c r="F199" t="inlineStr">
        <is>
          <t xml:space="preserve">Using Microsoft Power Automate with Copilot Studio | EP27</t>
        </is>
      </c>
      <c r="G199" t="inlineStr">
        <is>
          <t xml:space="preserve">Microsoft Power Platform</t>
        </is>
      </c>
      <c r="H199" s="3">
        <v>35997</v>
      </c>
      <c r="I199" t="inlineStr">
        <is>
          <t xml:space="preserve">1y ago</t>
        </is>
      </c>
      <c r="J199" t="inlineStr">
        <is>
          <t xml:space="preserve">29:28</t>
        </is>
      </c>
      <c r="K199" s="2" t="str">
        <f>HYPERLINK("https://www.youtube.com/watch?v=JqcxylzMSFY","https://www.youtube.com/watch?v=JqcxylzMSFY")</f>
        <v>https://www.youtube.com/watch?v=JqcxylzMSFY</v>
      </c>
      <c r="L199" t="inlineStr">
        <is>
          <t xml:space="preserve">Get a hands-on look at how your Power Automate skills are a big part of building Custom Agents and Agent flows. You might be ...</t>
        </is>
      </c>
      <c r="M199" t="inlineStr">
        <is>
          <t xml:space="preserve">power automate copilot</t>
        </is>
      </c>
    </row>
    <row r="200">
      <c r="A200" s="3">
        <v>199</v>
      </c>
      <c r="B200" t="inlineStr">
        <is>
          <t xml:space="preserve">Video</t>
        </is>
      </c>
      <c r="C200" t="inlineStr">
        <is>
          <t xml:space="preserve">English</t>
        </is>
      </c>
      <c r="D200" t="inlineStr">
        <is>
          <t xml:space="preserve">Tutorial</t>
        </is>
      </c>
      <c r="E200" t="inlineStr">
        <is>
          <t xml:space="preserve">SharePoint, Approvals</t>
        </is>
      </c>
      <c r="F200" t="inlineStr">
        <is>
          <t xml:space="preserve">Automating Approval Flows with POWER AUTOMATE and SHAREPOINT LISTS</t>
        </is>
      </c>
      <c r="G200" t="inlineStr">
        <is>
          <t xml:space="preserve">Tex-IT</t>
        </is>
      </c>
      <c r="H200" s="3">
        <v>35111</v>
      </c>
      <c r="I200" t="inlineStr">
        <is>
          <t xml:space="preserve">2y ago</t>
        </is>
      </c>
      <c r="J200" t="inlineStr">
        <is>
          <t xml:space="preserve">6:50</t>
        </is>
      </c>
      <c r="K200" s="2" t="str">
        <f>HYPERLINK("https://www.youtube.com/watch?v=TAZF0Thl6Qg","https://www.youtube.com/watch?v=TAZF0Thl6Qg")</f>
        <v>https://www.youtube.com/watch?v=TAZF0Thl6Qg</v>
      </c>
      <c r="L200" t="inlineStr">
        <is>
          <t xml:space="preserve">Automating Approval Flows with Power Automate and SharePoint Lists Description: Welcome to our latest tutorial where we ...</t>
        </is>
      </c>
      <c r="M200" t="inlineStr">
        <is>
          <t xml:space="preserve">power automate approval workflow</t>
        </is>
      </c>
    </row>
    <row r="201">
      <c r="A201" s="3">
        <v>200</v>
      </c>
      <c r="B201" t="inlineStr">
        <is>
          <t xml:space="preserve">Video</t>
        </is>
      </c>
      <c r="C201" t="inlineStr">
        <is>
          <t xml:space="preserve">English</t>
        </is>
      </c>
      <c r="D201" t="inlineStr">
        <is>
          <t xml:space="preserve">Tutorial</t>
        </is>
      </c>
      <c r="E201" t="inlineStr">
        <is>
          <t xml:space="preserve">Email/Outlook</t>
        </is>
      </c>
      <c r="F201" t="inlineStr">
        <is>
          <t xml:space="preserve">How to Send Recurring Emails in Outlook: 5-Minute Power Automate Setup</t>
        </is>
      </c>
      <c r="G201" t="inlineStr">
        <is>
          <t xml:space="preserve">Tom Nassr | XRAY </t>
        </is>
      </c>
      <c r="H201" s="3">
        <v>33007</v>
      </c>
      <c r="I201" t="inlineStr">
        <is>
          <t xml:space="preserve">2y ago</t>
        </is>
      </c>
      <c r="J201" t="inlineStr">
        <is>
          <t xml:space="preserve">11:17</t>
        </is>
      </c>
      <c r="K201" s="2" t="str">
        <f>HYPERLINK("https://www.youtube.com/watch?v=Lv4do4-WqV8","https://www.youtube.com/watch?v=Lv4do4-WqV8")</f>
        <v>https://www.youtube.com/watch?v=Lv4do4-WqV8</v>
      </c>
      <c r="L201" t="inlineStr">
        <is>
          <t xml:space="preserve">If you find yourself sending the same reminder email every day or every week, try automating it to save yourself a little time. In this ...</t>
        </is>
      </c>
      <c r="M201" t="inlineStr">
        <is>
          <t xml:space="preserve">power automate email automation outlook</t>
        </is>
      </c>
    </row>
    <row r="202">
      <c r="A202" s="3">
        <v>201</v>
      </c>
      <c r="B202" t="inlineStr">
        <is>
          <t xml:space="preserve">Video</t>
        </is>
      </c>
      <c r="C202" t="inlineStr">
        <is>
          <t xml:space="preserve">English</t>
        </is>
      </c>
      <c r="D202" t="inlineStr">
        <is>
          <t xml:space="preserve">Tutorial</t>
        </is>
      </c>
      <c r="E202" t="inlineStr">
        <is>
          <t xml:space="preserve">AI/Copilot</t>
        </is>
      </c>
      <c r="F202" t="inlineStr">
        <is>
          <t xml:space="preserve">How to Trigger a Power Automate Flow in Copilot Studio</t>
        </is>
      </c>
      <c r="G202" t="inlineStr">
        <is>
          <t xml:space="preserve">Citizen Developer</t>
        </is>
      </c>
      <c r="H202" s="3">
        <v>31537</v>
      </c>
      <c r="I202" t="inlineStr">
        <is>
          <t xml:space="preserve">1y ago</t>
        </is>
      </c>
      <c r="J202" t="inlineStr">
        <is>
          <t xml:space="preserve">5:55</t>
        </is>
      </c>
      <c r="K202" s="2" t="str">
        <f>HYPERLINK("https://www.youtube.com/watch?v=H-E2kpd5L3M","https://www.youtube.com/watch?v=H-E2kpd5L3M")</f>
        <v>https://www.youtube.com/watch?v=H-E2kpd5L3M</v>
      </c>
      <c r="L202" t="inlineStr">
        <is>
          <t xml:space="preserve">Need Copilot Studio Help⁉️ ➡️ Meet Now: https://calendly.com/citizendeveloper365/one-on-one-coaching Discover how to ...</t>
        </is>
      </c>
      <c r="M202" t="inlineStr">
        <is>
          <t xml:space="preserve">power automate copilot</t>
        </is>
      </c>
    </row>
    <row r="203">
      <c r="A203" s="3">
        <v>202</v>
      </c>
      <c r="B203" t="inlineStr">
        <is>
          <t xml:space="preserve">Video</t>
        </is>
      </c>
      <c r="C203" t="inlineStr">
        <is>
          <t xml:space="preserve">English</t>
        </is>
      </c>
      <c r="D203" t="inlineStr">
        <is>
          <t xml:space="preserve">Tutorial</t>
        </is>
      </c>
      <c r="E203" t="inlineStr">
        <is>
          <t xml:space="preserve">Cloud flows</t>
        </is>
      </c>
      <c r="F203" t="inlineStr">
        <is>
          <t xml:space="preserve">How to create a cloud flow from a template in Power Automate</t>
        </is>
      </c>
      <c r="G203" t="inlineStr">
        <is>
          <t xml:space="preserve">Microsoft Power Platform</t>
        </is>
      </c>
      <c r="H203" s="3">
        <v>30523</v>
      </c>
      <c r="I203" t="inlineStr">
        <is>
          <t xml:space="preserve">5y ago</t>
        </is>
      </c>
      <c r="J203" t="inlineStr">
        <is>
          <t xml:space="preserve">4:19</t>
        </is>
      </c>
      <c r="K203" s="2" t="str">
        <f>HYPERLINK("https://www.youtube.com/watch?v=NUyTzZXK3DA","https://www.youtube.com/watch?v=NUyTzZXK3DA")</f>
        <v>https://www.youtube.com/watch?v=NUyTzZXK3DA</v>
      </c>
      <c r="L203" t="inlineStr">
        <is>
          <t xml:space="preserve">In this video, you'll learn about how to find the right template for your scenario. Power Automate has over 100+ prebuilt templates ...</t>
        </is>
      </c>
      <c r="M203" t="inlineStr">
        <is>
          <t xml:space="preserve">power automate cloud flow tutorial</t>
        </is>
      </c>
    </row>
    <row r="204">
      <c r="A204" s="3">
        <v>203</v>
      </c>
      <c r="B204" t="inlineStr">
        <is>
          <t xml:space="preserve">Video</t>
        </is>
      </c>
      <c r="C204" t="inlineStr">
        <is>
          <t xml:space="preserve">English</t>
        </is>
      </c>
      <c r="D204" t="inlineStr">
        <is>
          <t xml:space="preserve">Tutorial</t>
        </is>
      </c>
      <c r="E204" t="inlineStr">
        <is>
          <t xml:space="preserve">AI/Copilot</t>
        </is>
      </c>
      <c r="F204" t="inlineStr">
        <is>
          <t xml:space="preserve">Power Automate Copilot: The Ultimate AI Automation Game-Changer</t>
        </is>
      </c>
      <c r="G204" t="inlineStr">
        <is>
          <t xml:space="preserve">Pragmatic Works</t>
        </is>
      </c>
      <c r="H204" s="3">
        <v>29904</v>
      </c>
      <c r="I204" t="inlineStr">
        <is>
          <t xml:space="preserve">1y ago</t>
        </is>
      </c>
      <c r="J204" t="inlineStr">
        <is>
          <t xml:space="preserve">10:47</t>
        </is>
      </c>
      <c r="K204" s="2" t="str">
        <f>HYPERLINK("https://www.youtube.com/watch?v=HSTfiu0JlbM","https://www.youtube.com/watch?v=HSTfiu0JlbM")</f>
        <v>https://www.youtube.com/watch?v=HSTfiu0JlbM</v>
      </c>
      <c r="L204" t="inlineStr">
        <is>
          <t xml:space="preserve">In this tutorial, we explore the incredible Copilot in Power Automate! Learn how AI can transform your workflows and automate ...</t>
        </is>
      </c>
      <c r="M204" t="inlineStr">
        <is>
          <t xml:space="preserve">power automate copilot</t>
        </is>
      </c>
    </row>
    <row r="205">
      <c r="A205" s="3">
        <v>204</v>
      </c>
      <c r="B205" t="inlineStr">
        <is>
          <t xml:space="preserve">Video</t>
        </is>
      </c>
      <c r="C205" t="inlineStr">
        <is>
          <t xml:space="preserve">English</t>
        </is>
      </c>
      <c r="D205" t="inlineStr">
        <is>
          <t xml:space="preserve">Tutorial</t>
        </is>
      </c>
      <c r="E205" t="inlineStr">
        <is>
          <t xml:space="preserve">SharePoint, Email/Outlook</t>
        </is>
      </c>
      <c r="F205" t="inlineStr">
        <is>
          <t xml:space="preserve">How you can automate the processing of invoices with Outlook, PowerAutomate and SharePoint</t>
        </is>
      </c>
      <c r="G205" t="inlineStr">
        <is>
          <t xml:space="preserve">Daniel Anderson</t>
        </is>
      </c>
      <c r="H205" s="3">
        <v>29542</v>
      </c>
      <c r="I205" t="inlineStr">
        <is>
          <t xml:space="preserve">6y ago</t>
        </is>
      </c>
      <c r="J205" t="inlineStr">
        <is>
          <t xml:space="preserve">6:57</t>
        </is>
      </c>
      <c r="K205" s="2" t="str">
        <f>HYPERLINK("https://www.youtube.com/watch?v=t3VfkRF0G1A","https://www.youtube.com/watch?v=t3VfkRF0G1A")</f>
        <v>https://www.youtube.com/watch?v=t3VfkRF0G1A</v>
      </c>
      <c r="L205" t="inlineStr">
        <is>
          <t xml:space="preserve">G'day everyone, Daniel here. Let's take a look at how we can automate the process of receiving invoices via email and then ...</t>
        </is>
      </c>
      <c r="M205" t="inlineStr">
        <is>
          <t xml:space="preserve">power automate sharepoint automation</t>
        </is>
      </c>
    </row>
    <row r="206">
      <c r="A206" s="3">
        <v>205</v>
      </c>
      <c r="B206" t="inlineStr">
        <is>
          <t xml:space="preserve">Video</t>
        </is>
      </c>
      <c r="C206" t="inlineStr">
        <is>
          <t xml:space="preserve">English</t>
        </is>
      </c>
      <c r="D206" t="inlineStr">
        <is>
          <t xml:space="preserve">Tutorial</t>
        </is>
      </c>
      <c r="E206" t="inlineStr">
        <is>
          <t xml:space="preserve">SharePoint</t>
        </is>
      </c>
      <c r="F206" t="inlineStr">
        <is>
          <t xml:space="preserve">SharePoint Permissions with Power Automate</t>
        </is>
      </c>
      <c r="G206" t="inlineStr">
        <is>
          <t xml:space="preserve">Deepak Shrivastava</t>
        </is>
      </c>
      <c r="H206" s="3">
        <v>28976</v>
      </c>
      <c r="I206" t="inlineStr">
        <is>
          <t xml:space="preserve">5y ago</t>
        </is>
      </c>
      <c r="J206" t="inlineStr">
        <is>
          <t xml:space="preserve">20:14</t>
        </is>
      </c>
      <c r="K206" s="2" t="str">
        <f>HYPERLINK("https://www.youtube.com/watch?v=m1wYjAyJ_YU","https://www.youtube.com/watch?v=m1wYjAyJ_YU")</f>
        <v>https://www.youtube.com/watch?v=m1wYjAyJ_YU</v>
      </c>
      <c r="L206" t="inlineStr">
        <is>
          <t xml:space="preserve">This video will show you how you can manage SharePoint list /library permissions using Power Automate. You will learn: 00:00 ...</t>
        </is>
      </c>
      <c r="M206" t="inlineStr">
        <is>
          <t xml:space="preserve">power automate sharepoint automation</t>
        </is>
      </c>
    </row>
    <row r="207">
      <c r="A207" s="3">
        <v>206</v>
      </c>
      <c r="B207" t="inlineStr">
        <is>
          <t xml:space="preserve">Video</t>
        </is>
      </c>
      <c r="C207" t="inlineStr">
        <is>
          <t xml:space="preserve">English</t>
        </is>
      </c>
      <c r="D207" t="inlineStr">
        <is>
          <t xml:space="preserve">Tutorial</t>
        </is>
      </c>
      <c r="E207" t="inlineStr">
        <is>
          <t xml:space="preserve">SharePoint</t>
        </is>
      </c>
      <c r="F207" t="inlineStr">
        <is>
          <t xml:space="preserve">Power Automate - Create New SharePoint Folder!</t>
        </is>
      </c>
      <c r="G207" t="inlineStr">
        <is>
          <t xml:space="preserve">Jibbs Automations</t>
        </is>
      </c>
      <c r="H207" s="3">
        <v>28295</v>
      </c>
      <c r="I207" t="inlineStr">
        <is>
          <t xml:space="preserve">2y ago</t>
        </is>
      </c>
      <c r="J207" t="inlineStr">
        <is>
          <t xml:space="preserve">4:37</t>
        </is>
      </c>
      <c r="K207" s="2" t="str">
        <f>HYPERLINK("https://www.youtube.com/watch?v=DxNNk8louHo","https://www.youtube.com/watch?v=DxNNk8louHo")</f>
        <v>https://www.youtube.com/watch?v=DxNNk8louHo</v>
      </c>
      <c r="L207" t="inlineStr">
        <is>
          <t xml:space="preserve">Follow along to create a new folder in SharePoint with the current date in the file name! More Power Automate videos here: ...</t>
        </is>
      </c>
      <c r="M207" t="inlineStr">
        <is>
          <t xml:space="preserve">power automate sharepoint automation</t>
        </is>
      </c>
    </row>
    <row r="208">
      <c r="A208" s="3">
        <v>207</v>
      </c>
      <c r="B208" t="inlineStr">
        <is>
          <t xml:space="preserve">Video</t>
        </is>
      </c>
      <c r="C208" t="inlineStr">
        <is>
          <t xml:space="preserve">English</t>
        </is>
      </c>
      <c r="D208" t="inlineStr">
        <is>
          <t xml:space="preserve">Tutorial</t>
        </is>
      </c>
      <c r="E208" t="inlineStr">
        <is>
          <t xml:space="preserve">Desktop/RPA, Excel, Email/Outlook</t>
        </is>
      </c>
      <c r="F208" t="inlineStr">
        <is>
          <t xml:space="preserve">How to Send Dynamic Emails with Power Automate Desktop</t>
        </is>
      </c>
      <c r="G208" t="inlineStr">
        <is>
          <t xml:space="preserve">Anders Jensen</t>
        </is>
      </c>
      <c r="H208" s="3">
        <v>27088</v>
      </c>
      <c r="I208" t="inlineStr">
        <is>
          <t xml:space="preserve">3y ago</t>
        </is>
      </c>
      <c r="J208" t="inlineStr">
        <is>
          <t xml:space="preserve">9:19</t>
        </is>
      </c>
      <c r="K208" s="2" t="str">
        <f>HYPERLINK("https://www.youtube.com/watch?v=5bHhl1_jVoE","https://www.youtube.com/watch?v=5bHhl1_jVoE")</f>
        <v>https://www.youtube.com/watch?v=5bHhl1_jVoE</v>
      </c>
      <c r="L208" t="inlineStr">
        <is>
          <t xml:space="preserve">This tutorial shows how to send dynamic Outlook emails with Microsoft Power Automate Desktop. We'll loop through an Excel ...</t>
        </is>
      </c>
      <c r="M208" t="inlineStr">
        <is>
          <t xml:space="preserve">power automate email automation outlook</t>
        </is>
      </c>
    </row>
    <row r="209">
      <c r="A209" s="3">
        <v>208</v>
      </c>
      <c r="B209" t="inlineStr">
        <is>
          <t xml:space="preserve">Video</t>
        </is>
      </c>
      <c r="C209" t="inlineStr">
        <is>
          <t xml:space="preserve">English</t>
        </is>
      </c>
      <c r="D209" t="inlineStr">
        <is>
          <t xml:space="preserve">Tutorial</t>
        </is>
      </c>
      <c r="E209" t="inlineStr">
        <is>
          <t xml:space="preserve">AI/Copilot</t>
        </is>
      </c>
      <c r="F209" t="inlineStr">
        <is>
          <t xml:space="preserve">Copilot in Power Automate</t>
        </is>
      </c>
      <c r="G209" t="inlineStr">
        <is>
          <t xml:space="preserve">Microsoft Power Automate</t>
        </is>
      </c>
      <c r="H209" s="3">
        <v>23687</v>
      </c>
      <c r="I209" t="inlineStr">
        <is>
          <t xml:space="preserve">2y ago</t>
        </is>
      </c>
      <c r="J209" t="inlineStr">
        <is>
          <t xml:space="preserve">0:35</t>
        </is>
      </c>
      <c r="K209" s="2" t="str">
        <f>HYPERLINK("https://www.youtube.com/watch?v=dMrZ96UNsXo","https://www.youtube.com/watch?v=dMrZ96UNsXo")</f>
        <v>https://www.youtube.com/watch?v=dMrZ96UNsXo</v>
      </c>
      <c r="L209" t="inlineStr">
        <is>
          <t xml:space="preserve">Copilot in Power Automate helps you discover, create, optimize, and orchestrate automation faster with the power of low-code and ...</t>
        </is>
      </c>
      <c r="M209" t="inlineStr">
        <is>
          <t xml:space="preserve">power automate copilot</t>
        </is>
      </c>
    </row>
    <row r="210">
      <c r="A210" s="3">
        <v>209</v>
      </c>
      <c r="B210" t="inlineStr">
        <is>
          <t xml:space="preserve">Video</t>
        </is>
      </c>
      <c r="C210" t="inlineStr">
        <is>
          <t xml:space="preserve">English</t>
        </is>
      </c>
      <c r="D210" t="inlineStr">
        <is>
          <t xml:space="preserve">Tutorial</t>
        </is>
      </c>
      <c r="E210" t="inlineStr">
        <is>
          <t xml:space="preserve">SharePoint</t>
        </is>
      </c>
      <c r="F210" t="inlineStr">
        <is>
          <t xml:space="preserve">Power Automate Flow when an Item is Created or Modified in SharePoint List | SharePoint Training</t>
        </is>
      </c>
      <c r="G210" t="inlineStr">
        <is>
          <t xml:space="preserve">Office365Concepts</t>
        </is>
      </c>
      <c r="H210" s="3">
        <v>22494</v>
      </c>
      <c r="I210" t="inlineStr">
        <is>
          <t xml:space="preserve">2y ago</t>
        </is>
      </c>
      <c r="J210" t="inlineStr">
        <is>
          <t xml:space="preserve">17:42</t>
        </is>
      </c>
      <c r="K210" s="2" t="str">
        <f>HYPERLINK("https://www.youtube.com/watch?v=FnQVz8w3ye0","https://www.youtube.com/watch?v=FnQVz8w3ye0")</f>
        <v>https://www.youtube.com/watch?v=FnQVz8w3ye0</v>
      </c>
      <c r="L210" t="inlineStr">
        <is>
          <t xml:space="preserve">Follow our blogs on https://office365concepts.com/ Membership is available on this channel: ...</t>
        </is>
      </c>
      <c r="M210" t="inlineStr">
        <is>
          <t xml:space="preserve">power automate sharepoint automation</t>
        </is>
      </c>
    </row>
    <row r="211">
      <c r="A211" s="3">
        <v>210</v>
      </c>
      <c r="B211" t="inlineStr">
        <is>
          <t xml:space="preserve">Video</t>
        </is>
      </c>
      <c r="C211" t="inlineStr">
        <is>
          <t xml:space="preserve">English</t>
        </is>
      </c>
      <c r="D211" t="inlineStr">
        <is>
          <t xml:space="preserve">Tutorial</t>
        </is>
      </c>
      <c r="E211" t="inlineStr">
        <is>
          <t xml:space="preserve">Approvals</t>
        </is>
      </c>
      <c r="F211" t="inlineStr">
        <is>
          <t xml:space="preserve">Approval Flows in Power Automate  - Beginners Tutorial</t>
        </is>
      </c>
      <c r="G211" t="inlineStr">
        <is>
          <t xml:space="preserve">Anders Jensen</t>
        </is>
      </c>
      <c r="H211" s="3">
        <v>22371</v>
      </c>
      <c r="I211" t="inlineStr">
        <is>
          <t xml:space="preserve">3y ago</t>
        </is>
      </c>
      <c r="J211" t="inlineStr">
        <is>
          <t xml:space="preserve">48:06</t>
        </is>
      </c>
      <c r="K211" s="2" t="str">
        <f>HYPERLINK("https://www.youtube.com/watch?v=3FfcKUdlKK8","https://www.youtube.com/watch?v=3FfcKUdlKK8")</f>
        <v>https://www.youtube.com/watch?v=3FfcKUdlKK8</v>
      </c>
      <c r="L211" t="inlineStr">
        <is>
          <t xml:space="preserve">Learn how to create advanced approval flows in Microsoft Power Automate. With this tutorial for beginners, you learn to set up an ...</t>
        </is>
      </c>
      <c r="M211" t="inlineStr">
        <is>
          <t xml:space="preserve">power automate approval workflow</t>
        </is>
      </c>
    </row>
    <row r="212">
      <c r="A212" s="3">
        <v>211</v>
      </c>
      <c r="B212" t="inlineStr">
        <is>
          <t xml:space="preserve">Video</t>
        </is>
      </c>
      <c r="C212" t="inlineStr">
        <is>
          <t xml:space="preserve">English</t>
        </is>
      </c>
      <c r="D212" t="inlineStr">
        <is>
          <t xml:space="preserve">Tutorial</t>
        </is>
      </c>
      <c r="E212" t="inlineStr">
        <is>
          <t xml:space="preserve">Desktop/RPA, AI/Copilot</t>
        </is>
      </c>
      <c r="F212" t="inlineStr">
        <is>
          <t xml:space="preserve">Microsoft Power Automate Tutorials || Module 21 : Invoice process With AI Builder ( Form Processing)</t>
        </is>
      </c>
      <c r="G212" t="inlineStr">
        <is>
          <t xml:space="preserve">Learn RPA &amp; AI Technologies every day</t>
        </is>
      </c>
      <c r="H212" s="3">
        <v>22371</v>
      </c>
      <c r="I212" t="inlineStr">
        <is>
          <t xml:space="preserve">5y ago</t>
        </is>
      </c>
      <c r="J212" t="inlineStr">
        <is>
          <t xml:space="preserve">20:13</t>
        </is>
      </c>
      <c r="K212" s="2" t="str">
        <f>HYPERLINK("https://www.youtube.com/watch?v=K0Fj7WZdRng","https://www.youtube.com/watch?v=K0Fj7WZdRng")</f>
        <v>https://www.youtube.com/watch?v=K0Fj7WZdRng</v>
      </c>
      <c r="L212" t="inlineStr">
        <is>
          <t xml:space="preserve">Microsoft #Microsoftpowerautomate #Microsoftflow #PowerAutomate #RPA #PowerRPA #AIBuilder ...</t>
        </is>
      </c>
      <c r="M212" t="inlineStr">
        <is>
          <t xml:space="preserve">power automate AI builder</t>
        </is>
      </c>
    </row>
    <row r="213">
      <c r="A213" s="3">
        <v>212</v>
      </c>
      <c r="B213" t="inlineStr">
        <is>
          <t xml:space="preserve">Video</t>
        </is>
      </c>
      <c r="C213" t="inlineStr">
        <is>
          <t xml:space="preserve">English</t>
        </is>
      </c>
      <c r="D213" t="inlineStr">
        <is>
          <t xml:space="preserve">Tutorial</t>
        </is>
      </c>
      <c r="E213" t="inlineStr">
        <is>
          <t xml:space="preserve">Approvals, AI/Copilot</t>
        </is>
      </c>
      <c r="F213" t="inlineStr">
        <is>
          <t xml:space="preserve">Build Power Automate Approval flow with Copilot | Tutorial</t>
        </is>
      </c>
      <c r="G213" t="inlineStr">
        <is>
          <t xml:space="preserve">Reza Dorrani</t>
        </is>
      </c>
      <c r="H213" s="3">
        <v>19739</v>
      </c>
      <c r="I213" t="inlineStr">
        <is>
          <t xml:space="preserve">2y ago</t>
        </is>
      </c>
      <c r="J213" t="inlineStr">
        <is>
          <t xml:space="preserve">10:00</t>
        </is>
      </c>
      <c r="K213" s="2" t="str">
        <f>HYPERLINK("https://www.youtube.com/watch?v=zSAyf3WUNdA","https://www.youtube.com/watch?v=zSAyf3WUNdA")</f>
        <v>https://www.youtube.com/watch?v=zSAyf3WUNdA</v>
      </c>
      <c r="L213" t="inlineStr">
        <is>
          <t xml:space="preserve">Discover how to streamline your workflow creation with the new Copilot chat experience in Power Automate! This tutorial shows ...</t>
        </is>
      </c>
      <c r="M213" t="inlineStr">
        <is>
          <t xml:space="preserve">power automate approval workflow</t>
        </is>
      </c>
    </row>
    <row r="214">
      <c r="A214" s="3">
        <v>213</v>
      </c>
      <c r="B214" t="inlineStr">
        <is>
          <t xml:space="preserve">Video</t>
        </is>
      </c>
      <c r="C214" t="inlineStr">
        <is>
          <t xml:space="preserve">English</t>
        </is>
      </c>
      <c r="D214" t="inlineStr">
        <is>
          <t xml:space="preserve">Tutorial</t>
        </is>
      </c>
      <c r="E214" t="inlineStr">
        <is>
          <t xml:space="preserve"/>
        </is>
      </c>
      <c r="F214" t="inlineStr">
        <is>
          <t xml:space="preserve">Power Automate Tutorial For Beginners | Microsoft Power Automate Tutorial 2026 | Simplilearn</t>
        </is>
      </c>
      <c r="G214" t="inlineStr">
        <is>
          <t xml:space="preserve">Simplilearn</t>
        </is>
      </c>
      <c r="H214" s="3">
        <v>19104</v>
      </c>
      <c r="I214" t="inlineStr">
        <is>
          <t xml:space="preserve">1y ago</t>
        </is>
      </c>
      <c r="J214" t="inlineStr">
        <is>
          <t xml:space="preserve">9:11</t>
        </is>
      </c>
      <c r="K214" s="2" t="str">
        <f>HYPERLINK("https://www.youtube.com/watch?v=xNEa-e0Whas","https://www.youtube.com/watch?v=xNEa-e0Whas")</f>
        <v>https://www.youtube.com/watch?v=xNEa-e0Whas</v>
      </c>
      <c r="L214" t="inlineStr">
        <is>
          <t xml:space="preserve">"️ IBM - Data Analyst ...</t>
        </is>
      </c>
      <c r="M214" t="inlineStr">
        <is>
          <t xml:space="preserve">power automate tutorial for beginners</t>
        </is>
      </c>
    </row>
    <row r="215">
      <c r="A215" s="3">
        <v>214</v>
      </c>
      <c r="B215" t="inlineStr">
        <is>
          <t xml:space="preserve">Video</t>
        </is>
      </c>
      <c r="C215" t="inlineStr">
        <is>
          <t xml:space="preserve">English</t>
        </is>
      </c>
      <c r="D215" t="inlineStr">
        <is>
          <t xml:space="preserve">Tutorial</t>
        </is>
      </c>
      <c r="E215" t="inlineStr">
        <is>
          <t xml:space="preserve">AI/Copilot</t>
        </is>
      </c>
      <c r="F215" t="inlineStr">
        <is>
          <t xml:space="preserve">Microsoft AI Builder Tutorial for Beginners | Power Automate Workflow Integration</t>
        </is>
      </c>
      <c r="G215" t="inlineStr">
        <is>
          <t xml:space="preserve">Lui Iacobellis</t>
        </is>
      </c>
      <c r="H215" s="3">
        <v>19038</v>
      </c>
      <c r="I215" t="inlineStr">
        <is>
          <t xml:space="preserve">1y ago</t>
        </is>
      </c>
      <c r="J215" t="inlineStr">
        <is>
          <t xml:space="preserve">12:58</t>
        </is>
      </c>
      <c r="K215" s="2" t="str">
        <f>HYPERLINK("https://www.youtube.com/watch?v=lA3Mh84K5fM","https://www.youtube.com/watch?v=lA3Mh84K5fM")</f>
        <v>https://www.youtube.com/watch?v=lA3Mh84K5fM</v>
      </c>
      <c r="L215" t="inlineStr">
        <is>
          <t xml:space="preserve">This tutorial provides a beginner-friendly introduction to Microsoft AI Builder training. It features practical microsoft ai builder ...</t>
        </is>
      </c>
      <c r="M215" t="inlineStr">
        <is>
          <t xml:space="preserve">power automate AI builder</t>
        </is>
      </c>
    </row>
    <row r="216">
      <c r="A216" s="3">
        <v>215</v>
      </c>
      <c r="B216" t="inlineStr">
        <is>
          <t xml:space="preserve">Video</t>
        </is>
      </c>
      <c r="C216" t="inlineStr">
        <is>
          <t xml:space="preserve">English</t>
        </is>
      </c>
      <c r="D216" t="inlineStr">
        <is>
          <t xml:space="preserve">Tutorial</t>
        </is>
      </c>
      <c r="E216" t="inlineStr">
        <is>
          <t xml:space="preserve">Desktop/RPA</t>
        </is>
      </c>
      <c r="F216" t="inlineStr">
        <is>
          <t xml:space="preserve">Power Automate Desktop</t>
        </is>
      </c>
      <c r="G216" t="inlineStr">
        <is>
          <t xml:space="preserve">Microsoft Power Platform</t>
        </is>
      </c>
      <c r="H216" s="3">
        <v>18012</v>
      </c>
      <c r="I216" t="inlineStr">
        <is>
          <t xml:space="preserve">5y ago</t>
        </is>
      </c>
      <c r="J216" t="inlineStr">
        <is>
          <t xml:space="preserve">1:00</t>
        </is>
      </c>
      <c r="K216" s="2" t="str">
        <f>HYPERLINK("https://www.youtube.com/watch?v=lwpAvKkk2Hc","https://www.youtube.com/watch?v=lwpAvKkk2Hc")</f>
        <v>https://www.youtube.com/watch?v=lwpAvKkk2Hc</v>
      </c>
      <c r="L216" t="inlineStr">
        <is>
          <t xml:space="preserve">Easily automate anything from your desktop. Now available for Windows 10 users at no additional cost.</t>
        </is>
      </c>
      <c r="M216" t="inlineStr">
        <is>
          <t xml:space="preserve">power automate desktop</t>
        </is>
      </c>
    </row>
    <row r="217">
      <c r="A217" s="3">
        <v>216</v>
      </c>
      <c r="B217" t="inlineStr">
        <is>
          <t xml:space="preserve">Video</t>
        </is>
      </c>
      <c r="C217" t="inlineStr">
        <is>
          <t xml:space="preserve">English</t>
        </is>
      </c>
      <c r="D217" t="inlineStr">
        <is>
          <t xml:space="preserve">Tutorial</t>
        </is>
      </c>
      <c r="E217" t="inlineStr">
        <is>
          <t xml:space="preserve"/>
        </is>
      </c>
      <c r="F217" t="inlineStr">
        <is>
          <t xml:space="preserve">Getting Started with Power Automate for Beginners</t>
        </is>
      </c>
      <c r="G217" t="inlineStr">
        <is>
          <t xml:space="preserve">Heather Majors</t>
        </is>
      </c>
      <c r="H217" s="3">
        <v>16028</v>
      </c>
      <c r="I217" t="inlineStr">
        <is>
          <t xml:space="preserve">7mo ago</t>
        </is>
      </c>
      <c r="J217" t="inlineStr">
        <is>
          <t xml:space="preserve">12:44</t>
        </is>
      </c>
      <c r="K217" s="2" t="str">
        <f>HYPERLINK("https://www.youtube.com/watch?v=ov7AG1VfNHE","https://www.youtube.com/watch?v=ov7AG1VfNHE")</f>
        <v>https://www.youtube.com/watch?v=ov7AG1VfNHE</v>
      </c>
      <c r="L217" t="inlineStr">
        <is>
          <t xml:space="preserve">This video is a getting started guide for Power Automate. It is the first in a mini series that looks at how to use Power Automate from ...</t>
        </is>
      </c>
      <c r="M217" t="inlineStr">
        <is>
          <t xml:space="preserve">power automate tutorial for beginners</t>
        </is>
      </c>
    </row>
    <row r="218">
      <c r="A218" s="3">
        <v>217</v>
      </c>
      <c r="B218" t="inlineStr">
        <is>
          <t xml:space="preserve">Video</t>
        </is>
      </c>
      <c r="C218" t="inlineStr">
        <is>
          <t xml:space="preserve">English</t>
        </is>
      </c>
      <c r="D218" t="inlineStr">
        <is>
          <t xml:space="preserve">Tutorial</t>
        </is>
      </c>
      <c r="E218" t="inlineStr">
        <is>
          <t xml:space="preserve">Desktop/RPA, Excel</t>
        </is>
      </c>
      <c r="F218" t="inlineStr">
        <is>
          <t xml:space="preserve">Automate Excel with Power Automate Desktop (Full Beginner Tutorial)</t>
        </is>
      </c>
      <c r="G218" t="inlineStr">
        <is>
          <t xml:space="preserve">Anders Jensen</t>
        </is>
      </c>
      <c r="H218" s="3">
        <v>15804</v>
      </c>
      <c r="I218" t="inlineStr">
        <is>
          <t xml:space="preserve">5mo ago</t>
        </is>
      </c>
      <c r="J218" t="inlineStr">
        <is>
          <t xml:space="preserve">16:24</t>
        </is>
      </c>
      <c r="K218" s="2" t="str">
        <f>HYPERLINK("https://www.youtube.com/watch?v=ycYMznbRwEQ","https://www.youtube.com/watch?v=ycYMznbRwEQ")</f>
        <v>https://www.youtube.com/watch?v=ycYMznbRwEQ</v>
      </c>
      <c r="L218" t="inlineStr">
        <is>
          <t xml:space="preserve">Automate Excel with Power Automate Desktop by reading a timesheet into a data table, looping through the rows and typing each ...</t>
        </is>
      </c>
      <c r="M218" t="inlineStr">
        <is>
          <t xml:space="preserve">power automate excel automation ; power automate desktop</t>
        </is>
      </c>
    </row>
    <row r="219">
      <c r="A219" s="3">
        <v>218</v>
      </c>
      <c r="B219" t="inlineStr">
        <is>
          <t xml:space="preserve">Video</t>
        </is>
      </c>
      <c r="C219" t="inlineStr">
        <is>
          <t xml:space="preserve">English</t>
        </is>
      </c>
      <c r="D219" t="inlineStr">
        <is>
          <t xml:space="preserve">Tutorial</t>
        </is>
      </c>
      <c r="E219" t="inlineStr">
        <is>
          <t xml:space="preserve">Cloud flows, Power Apps</t>
        </is>
      </c>
      <c r="F219" t="inlineStr">
        <is>
          <t xml:space="preserve">Power Apps Code Apps + Power Automate Flows 🚀  (NEW feature)</t>
        </is>
      </c>
      <c r="G219" t="inlineStr">
        <is>
          <t xml:space="preserve">Reza Dorrani</t>
        </is>
      </c>
      <c r="H219" s="3">
        <v>15535</v>
      </c>
      <c r="I219" t="inlineStr">
        <is>
          <t xml:space="preserve">4mo ago</t>
        </is>
      </c>
      <c r="J219" t="inlineStr">
        <is>
          <t xml:space="preserve">22:40</t>
        </is>
      </c>
      <c r="K219" s="2" t="str">
        <f>HYPERLINK("https://www.youtube.com/watch?v=1wvJbhp3_oE","https://www.youtube.com/watch?v=1wvJbhp3_oE")</f>
        <v>https://www.youtube.com/watch?v=1wvJbhp3_oE</v>
      </c>
      <c r="L219" t="inlineStr">
        <is>
          <t xml:space="preserve">Power Apps Code Apps just unlocked one of the most-requested capabilities: calling Power Automate cloud flows directly from ...</t>
        </is>
      </c>
      <c r="M219" t="inlineStr">
        <is>
          <t xml:space="preserve">power apps power automate project</t>
        </is>
      </c>
    </row>
    <row r="220">
      <c r="A220" s="3">
        <v>219</v>
      </c>
      <c r="B220" t="inlineStr">
        <is>
          <t xml:space="preserve">Video</t>
        </is>
      </c>
      <c r="C220" t="inlineStr">
        <is>
          <t xml:space="preserve">English</t>
        </is>
      </c>
      <c r="D220" t="inlineStr">
        <is>
          <t xml:space="preserve">Tutorial</t>
        </is>
      </c>
      <c r="E220" t="inlineStr">
        <is>
          <t xml:space="preserve">Approvals</t>
        </is>
      </c>
      <c r="F220" t="inlineStr">
        <is>
          <t xml:space="preserve">Power Automate Approval Workflows Explained! 💡 Build Smart Flows Fast</t>
        </is>
      </c>
      <c r="G220" t="inlineStr">
        <is>
          <t xml:space="preserve">Pragmatic Works</t>
        </is>
      </c>
      <c r="H220" s="3">
        <v>15180</v>
      </c>
      <c r="I220" t="inlineStr">
        <is>
          <t xml:space="preserve">1y ago</t>
        </is>
      </c>
      <c r="J220" t="inlineStr">
        <is>
          <t xml:space="preserve">53:13</t>
        </is>
      </c>
      <c r="K220" s="2" t="str">
        <f>HYPERLINK("https://www.youtube.com/watch?v=uqdfGNKM5Os","https://www.youtube.com/watch?v=uqdfGNKM5Os")</f>
        <v>https://www.youtube.com/watch?v=uqdfGNKM5Os</v>
      </c>
      <c r="L220" t="inlineStr">
        <is>
          <t xml:space="preserve">Ready to master Power Automate Approval Workflows? This video is your complete guide to building smart, automated flows ...</t>
        </is>
      </c>
      <c r="M220" t="inlineStr">
        <is>
          <t xml:space="preserve">power automate approval workflow</t>
        </is>
      </c>
    </row>
    <row r="221">
      <c r="A221" s="3">
        <v>220</v>
      </c>
      <c r="B221" t="inlineStr">
        <is>
          <t xml:space="preserve">Video</t>
        </is>
      </c>
      <c r="C221" t="inlineStr">
        <is>
          <t xml:space="preserve">English</t>
        </is>
      </c>
      <c r="D221" t="inlineStr">
        <is>
          <t xml:space="preserve">Tutorial</t>
        </is>
      </c>
      <c r="E221" t="inlineStr">
        <is>
          <t xml:space="preserve">Email/Outlook</t>
        </is>
      </c>
      <c r="F221" t="inlineStr">
        <is>
          <t xml:space="preserve">How to Send Emails Like a Pro with Power Automate!</t>
        </is>
      </c>
      <c r="G221" t="inlineStr">
        <is>
          <t xml:space="preserve">That Office Guy</t>
        </is>
      </c>
      <c r="H221" s="3">
        <v>14819</v>
      </c>
      <c r="I221" t="inlineStr">
        <is>
          <t xml:space="preserve">1y ago</t>
        </is>
      </c>
      <c r="J221" t="inlineStr">
        <is>
          <t xml:space="preserve">8:43</t>
        </is>
      </c>
      <c r="K221" s="2" t="str">
        <f>HYPERLINK("https://www.youtube.com/watch?v=WKRXEIRCotQ","https://www.youtube.com/watch?v=WKRXEIRCotQ")</f>
        <v>https://www.youtube.com/watch?v=WKRXEIRCotQ</v>
      </c>
      <c r="L221" t="inlineStr">
        <is>
          <t xml:space="preserve">Revolutionize Your Email Workflow with This Simple Trick - How to Send Emails Like a Pro with Power Automate! Unlock the full ...</t>
        </is>
      </c>
      <c r="M221" t="inlineStr">
        <is>
          <t xml:space="preserve">power automate email automation outlook</t>
        </is>
      </c>
    </row>
    <row r="222">
      <c r="A222" s="3">
        <v>221</v>
      </c>
      <c r="B222" t="inlineStr">
        <is>
          <t xml:space="preserve">Video</t>
        </is>
      </c>
      <c r="C222" t="inlineStr">
        <is>
          <t xml:space="preserve">English</t>
        </is>
      </c>
      <c r="D222" t="inlineStr">
        <is>
          <t xml:space="preserve">Tutorial</t>
        </is>
      </c>
      <c r="E222" t="inlineStr">
        <is>
          <t xml:space="preserve">AI/Copilot</t>
        </is>
      </c>
      <c r="F222" t="inlineStr">
        <is>
          <t xml:space="preserve">Power Automate AI Builder Invoice Processing | AI Builder Invoice Processing | AI Builder Tutorial</t>
        </is>
      </c>
      <c r="G222" t="inlineStr">
        <is>
          <t xml:space="preserve">EasyWay2Learn</t>
        </is>
      </c>
      <c r="H222" s="3">
        <v>14108</v>
      </c>
      <c r="I222" t="inlineStr">
        <is>
          <t xml:space="preserve">2y ago</t>
        </is>
      </c>
      <c r="J222" t="inlineStr">
        <is>
          <t xml:space="preserve">30:55</t>
        </is>
      </c>
      <c r="K222" s="2" t="str">
        <f>HYPERLINK("https://www.youtube.com/watch?v=mAeHiT56EV8","https://www.youtube.com/watch?v=mAeHiT56EV8")</f>
        <v>https://www.youtube.com/watch?v=mAeHiT56EV8</v>
      </c>
      <c r="L222" t="inlineStr">
        <is>
          <t xml:space="preserve">Welcome to @easyways2learn In this step-by-step Power Automate tutorial, learn how to use Microsoft AI Builder (Power ...</t>
        </is>
      </c>
      <c r="M222" t="inlineStr">
        <is>
          <t xml:space="preserve">power automate AI builder</t>
        </is>
      </c>
    </row>
    <row r="223">
      <c r="A223" s="3">
        <v>222</v>
      </c>
      <c r="B223" t="inlineStr">
        <is>
          <t xml:space="preserve">Video</t>
        </is>
      </c>
      <c r="C223" t="inlineStr">
        <is>
          <t xml:space="preserve">English</t>
        </is>
      </c>
      <c r="D223" t="inlineStr">
        <is>
          <t xml:space="preserve">Tutorial</t>
        </is>
      </c>
      <c r="E223" t="inlineStr">
        <is>
          <t xml:space="preserve">Excel</t>
        </is>
      </c>
      <c r="F223" t="inlineStr">
        <is>
          <t xml:space="preserve">Power Automate Excel Tutorial: Add, Update and Read from Excel</t>
        </is>
      </c>
      <c r="G223" t="inlineStr">
        <is>
          <t xml:space="preserve">Thomas Janssen</t>
        </is>
      </c>
      <c r="H223" s="3">
        <v>12165</v>
      </c>
      <c r="I223" t="inlineStr">
        <is>
          <t xml:space="preserve">8mo ago</t>
        </is>
      </c>
      <c r="J223" t="inlineStr">
        <is>
          <t xml:space="preserve">12:39</t>
        </is>
      </c>
      <c r="K223" s="2" t="str">
        <f>HYPERLINK("https://www.youtube.com/watch?v=M7gaUl4MsZ4","https://www.youtube.com/watch?v=M7gaUl4MsZ4")</f>
        <v>https://www.youtube.com/watch?v=M7gaUl4MsZ4</v>
      </c>
      <c r="L223" t="inlineStr">
        <is>
          <t xml:space="preserve">Automating boring work in Microsoft Excel with Power Automate is easy! In this tutorial you learn how to add data to an Excel file, ...</t>
        </is>
      </c>
      <c r="M223" t="inlineStr">
        <is>
          <t xml:space="preserve">power automate excel automation</t>
        </is>
      </c>
    </row>
    <row r="224">
      <c r="A224" s="3">
        <v>223</v>
      </c>
      <c r="B224" t="inlineStr">
        <is>
          <t xml:space="preserve">Video</t>
        </is>
      </c>
      <c r="C224" t="inlineStr">
        <is>
          <t xml:space="preserve">English</t>
        </is>
      </c>
      <c r="D224" t="inlineStr">
        <is>
          <t xml:space="preserve">Tutorial</t>
        </is>
      </c>
      <c r="E224" t="inlineStr">
        <is>
          <t xml:space="preserve">Desktop/RPA, AI/Copilot</t>
        </is>
      </c>
      <c r="F224" t="inlineStr">
        <is>
          <t xml:space="preserve">😍 Copilot in Power Automate Desktop is here (How to Guide)</t>
        </is>
      </c>
      <c r="G224" t="inlineStr">
        <is>
          <t xml:space="preserve">Anders Jensen</t>
        </is>
      </c>
      <c r="H224" s="3">
        <v>10629</v>
      </c>
      <c r="I224" t="inlineStr">
        <is>
          <t xml:space="preserve">2y ago</t>
        </is>
      </c>
      <c r="J224" t="inlineStr">
        <is>
          <t xml:space="preserve">5:24</t>
        </is>
      </c>
      <c r="K224" s="2" t="str">
        <f>HYPERLINK("https://www.youtube.com/watch?v=dZDoMrwqt4M","https://www.youtube.com/watch?v=dZDoMrwqt4M")</f>
        <v>https://www.youtube.com/watch?v=dZDoMrwqt4M</v>
      </c>
      <c r="L224" t="inlineStr">
        <is>
          <t xml:space="preserve">The video shows how to use Copilot in Microsoft Power Automate Desktop. Learn to use your everyday English words to create ...</t>
        </is>
      </c>
      <c r="M224" t="inlineStr">
        <is>
          <t xml:space="preserve">power automate copilot</t>
        </is>
      </c>
    </row>
    <row r="225">
      <c r="A225" s="3">
        <v>224</v>
      </c>
      <c r="B225" t="inlineStr">
        <is>
          <t xml:space="preserve">Video</t>
        </is>
      </c>
      <c r="C225" t="inlineStr">
        <is>
          <t xml:space="preserve">English</t>
        </is>
      </c>
      <c r="D225" t="inlineStr">
        <is>
          <t xml:space="preserve">Tutorial</t>
        </is>
      </c>
      <c r="E225" t="inlineStr">
        <is>
          <t xml:space="preserve">Email/Outlook</t>
        </is>
      </c>
      <c r="F225" t="inlineStr">
        <is>
          <t xml:space="preserve">Power Automate: Create Auto Replies for External Emails</t>
        </is>
      </c>
      <c r="G225" t="inlineStr">
        <is>
          <t xml:space="preserve">Cyber Insider</t>
        </is>
      </c>
      <c r="H225" s="3">
        <v>10417</v>
      </c>
      <c r="I225" t="inlineStr">
        <is>
          <t xml:space="preserve">2y ago</t>
        </is>
      </c>
      <c r="J225" t="inlineStr">
        <is>
          <t xml:space="preserve">3:27</t>
        </is>
      </c>
      <c r="K225" s="2" t="str">
        <f>HYPERLINK("https://www.youtube.com/watch?v=szdpk1N5Gck","https://www.youtube.com/watch?v=szdpk1N5Gck")</f>
        <v>https://www.youtube.com/watch?v=szdpk1N5Gck</v>
      </c>
      <c r="L225" t="inlineStr">
        <is>
          <t xml:space="preserve">Lear how you can create an auto response Power Automate, to respond to any external sender outside of your company's domain ...</t>
        </is>
      </c>
      <c r="M225" t="inlineStr">
        <is>
          <t xml:space="preserve">power automate email automation outlook</t>
        </is>
      </c>
    </row>
    <row r="226">
      <c r="A226" s="3">
        <v>225</v>
      </c>
      <c r="B226" t="inlineStr">
        <is>
          <t xml:space="preserve">Video</t>
        </is>
      </c>
      <c r="C226" t="inlineStr">
        <is>
          <t xml:space="preserve">English</t>
        </is>
      </c>
      <c r="D226" t="inlineStr">
        <is>
          <t xml:space="preserve">Tutorial</t>
        </is>
      </c>
      <c r="E226" t="inlineStr">
        <is>
          <t xml:space="preserve">AI/Copilot</t>
        </is>
      </c>
      <c r="F226" t="inlineStr">
        <is>
          <t xml:space="preserve">EXPLAINED: Copilot Studio Agents vs. Power Automate Flows</t>
        </is>
      </c>
      <c r="G226" t="inlineStr">
        <is>
          <t xml:space="preserve">Citizen Developer</t>
        </is>
      </c>
      <c r="H226" s="3">
        <v>10240</v>
      </c>
      <c r="I226" t="inlineStr">
        <is>
          <t xml:space="preserve">5mo ago</t>
        </is>
      </c>
      <c r="J226" t="inlineStr">
        <is>
          <t xml:space="preserve">7:46</t>
        </is>
      </c>
      <c r="K226" s="2" t="str">
        <f>HYPERLINK("https://www.youtube.com/watch?v=B119SbXhQns","https://www.youtube.com/watch?v=B119SbXhQns")</f>
        <v>https://www.youtube.com/watch?v=B119SbXhQns</v>
      </c>
      <c r="L226" t="inlineStr">
        <is>
          <t xml:space="preserve">Download the Agents vs. Flows Cheat Sheet Here: https://citizendeveloper365.com/resources/agent-flow-cheat-sheet/ In this ...</t>
        </is>
      </c>
      <c r="M226" t="inlineStr">
        <is>
          <t xml:space="preserve">power automate copilot</t>
        </is>
      </c>
    </row>
    <row r="227">
      <c r="A227" s="3">
        <v>226</v>
      </c>
      <c r="B227" t="inlineStr">
        <is>
          <t xml:space="preserve">Video</t>
        </is>
      </c>
      <c r="C227" t="inlineStr">
        <is>
          <t xml:space="preserve">English</t>
        </is>
      </c>
      <c r="D227" t="inlineStr">
        <is>
          <t xml:space="preserve">Tutorial</t>
        </is>
      </c>
      <c r="E227" t="inlineStr">
        <is>
          <t xml:space="preserve">AI/Copilot, PDF</t>
        </is>
      </c>
      <c r="F227" t="inlineStr">
        <is>
          <t xml:space="preserve">Connect Power Automate Flows to Copilot Agents: Generate PDFs &amp; More (Step-by-Step)</t>
        </is>
      </c>
      <c r="G227" t="inlineStr">
        <is>
          <t xml:space="preserve">Ronan Vico Technologies</t>
        </is>
      </c>
      <c r="H227" s="3">
        <v>9535</v>
      </c>
      <c r="I227" t="inlineStr">
        <is>
          <t xml:space="preserve">8mo ago</t>
        </is>
      </c>
      <c r="J227" t="inlineStr">
        <is>
          <t xml:space="preserve">10:03</t>
        </is>
      </c>
      <c r="K227" s="2" t="str">
        <f>HYPERLINK("https://www.youtube.com/watch?v=MHfK981SyvQ","https://www.youtube.com/watch?v=MHfK981SyvQ")</f>
        <v>https://www.youtube.com/watch?v=MHfK981SyvQ</v>
      </c>
      <c r="L227" t="inlineStr">
        <is>
          <t xml:space="preserve">Learn Power Platform faster at Pragmatic Works with this special discount! Click here ...</t>
        </is>
      </c>
      <c r="M227" t="inlineStr">
        <is>
          <t xml:space="preserve">power automate copilot</t>
        </is>
      </c>
    </row>
    <row r="228">
      <c r="A228" s="3">
        <v>227</v>
      </c>
      <c r="B228" t="inlineStr">
        <is>
          <t xml:space="preserve">Video</t>
        </is>
      </c>
      <c r="C228" t="inlineStr">
        <is>
          <t xml:space="preserve">English</t>
        </is>
      </c>
      <c r="D228" t="inlineStr">
        <is>
          <t xml:space="preserve">Tutorial</t>
        </is>
      </c>
      <c r="E228" t="inlineStr">
        <is>
          <t xml:space="preserve">SharePoint, Excel</t>
        </is>
      </c>
      <c r="F228" t="inlineStr">
        <is>
          <t xml:space="preserve">Power Automate: Automatically Add New SharePoint Items to Excel (Step-by-Step Tutorial)</t>
        </is>
      </c>
      <c r="G228" t="inlineStr">
        <is>
          <t xml:space="preserve">Automate M365</t>
        </is>
      </c>
      <c r="H228" s="3">
        <v>8878</v>
      </c>
      <c r="I228" t="inlineStr">
        <is>
          <t xml:space="preserve">11mo ago</t>
        </is>
      </c>
      <c r="J228" t="inlineStr">
        <is>
          <t xml:space="preserve">1:55</t>
        </is>
      </c>
      <c r="K228" s="2" t="str">
        <f>HYPERLINK("https://www.youtube.com/watch?v=mUl0tCgPiSc","https://www.youtube.com/watch?v=mUl0tCgPiSc")</f>
        <v>https://www.youtube.com/watch?v=mUl0tCgPiSc</v>
      </c>
      <c r="L228" t="inlineStr">
        <is>
          <t xml:space="preserve">Master scheduled data syncing! Discover how to automatically export entire Excel tables into a SharePoint list on a regular ...</t>
        </is>
      </c>
      <c r="M228" t="inlineStr">
        <is>
          <t xml:space="preserve">power automate sharepoint automation</t>
        </is>
      </c>
    </row>
    <row r="229">
      <c r="A229" s="3">
        <v>228</v>
      </c>
      <c r="B229" t="inlineStr">
        <is>
          <t xml:space="preserve">Video</t>
        </is>
      </c>
      <c r="C229" t="inlineStr">
        <is>
          <t xml:space="preserve">English</t>
        </is>
      </c>
      <c r="D229" t="inlineStr">
        <is>
          <t xml:space="preserve">Tutorial</t>
        </is>
      </c>
      <c r="E229" t="inlineStr">
        <is>
          <t xml:space="preserve">AI/Copilot</t>
        </is>
      </c>
      <c r="F229" t="inlineStr">
        <is>
          <t xml:space="preserve">How to use Power Automate Copilot - hands-on</t>
        </is>
      </c>
      <c r="G229" t="inlineStr">
        <is>
          <t xml:space="preserve">Efficiency 365 by Dr Nitin</t>
        </is>
      </c>
      <c r="H229" s="3">
        <v>8335</v>
      </c>
      <c r="I229" t="inlineStr">
        <is>
          <t xml:space="preserve">2y ago</t>
        </is>
      </c>
      <c r="J229" t="inlineStr">
        <is>
          <t xml:space="preserve">9:31</t>
        </is>
      </c>
      <c r="K229" s="2" t="str">
        <f>HYPERLINK("https://www.youtube.com/watch?v=Sjszdd5io8I","https://www.youtube.com/watch?v=Sjszdd5io8I")</f>
        <v>https://www.youtube.com/watch?v=Sjszdd5io8I</v>
      </c>
      <c r="L229" t="inlineStr">
        <is>
          <t xml:space="preserve">copilot #powerautomate #powerplatform #generativeai Learn how to use AI based Copilot in Power Automate to create workflow ...</t>
        </is>
      </c>
      <c r="M229" t="inlineStr">
        <is>
          <t xml:space="preserve">power automate copilot</t>
        </is>
      </c>
    </row>
    <row r="230">
      <c r="A230" s="3">
        <v>229</v>
      </c>
      <c r="B230" t="inlineStr">
        <is>
          <t xml:space="preserve">Video</t>
        </is>
      </c>
      <c r="C230" t="inlineStr">
        <is>
          <t xml:space="preserve">English</t>
        </is>
      </c>
      <c r="D230" t="inlineStr">
        <is>
          <t xml:space="preserve">Tutorial</t>
        </is>
      </c>
      <c r="E230" t="inlineStr">
        <is>
          <t xml:space="preserve">AI/Copilot</t>
        </is>
      </c>
      <c r="F230" t="inlineStr">
        <is>
          <t xml:space="preserve">How to use Power Automate AI Copilot - Beginners tutorial</t>
        </is>
      </c>
      <c r="G230" t="inlineStr">
        <is>
          <t xml:space="preserve">Anders Jensen</t>
        </is>
      </c>
      <c r="H230" s="3">
        <v>8257</v>
      </c>
      <c r="I230" t="inlineStr">
        <is>
          <t xml:space="preserve">3y ago</t>
        </is>
      </c>
      <c r="J230" t="inlineStr">
        <is>
          <t xml:space="preserve">6:09</t>
        </is>
      </c>
      <c r="K230" s="2" t="str">
        <f>HYPERLINK("https://www.youtube.com/watch?v=zYLVq0l1a4k","https://www.youtube.com/watch?v=zYLVq0l1a4k")</f>
        <v>https://www.youtube.com/watch?v=zYLVq0l1a4k</v>
      </c>
      <c r="L230" t="inlineStr">
        <is>
          <t xml:space="preserve">Power Automate Copilot from Microsoft is here. With everyday words and AI, you can create and tweak your flows. Here's how to ...</t>
        </is>
      </c>
      <c r="M230" t="inlineStr">
        <is>
          <t xml:space="preserve">power automate copilot</t>
        </is>
      </c>
    </row>
    <row r="231">
      <c r="A231" s="3">
        <v>230</v>
      </c>
      <c r="B231" t="inlineStr">
        <is>
          <t xml:space="preserve">Video</t>
        </is>
      </c>
      <c r="C231" t="inlineStr">
        <is>
          <t xml:space="preserve">English</t>
        </is>
      </c>
      <c r="D231" t="inlineStr">
        <is>
          <t xml:space="preserve">Tutorial</t>
        </is>
      </c>
      <c r="E231" t="inlineStr">
        <is>
          <t xml:space="preserve">SharePoint</t>
        </is>
      </c>
      <c r="F231" t="inlineStr">
        <is>
          <t xml:space="preserve">How to Add Workflow to a SharePoint List Using Microsoft Power Automate</t>
        </is>
      </c>
      <c r="G231" t="inlineStr">
        <is>
          <t xml:space="preserve">Lui Iacobellis</t>
        </is>
      </c>
      <c r="H231" s="3">
        <v>8033</v>
      </c>
      <c r="I231" t="inlineStr">
        <is>
          <t xml:space="preserve">5y ago</t>
        </is>
      </c>
      <c r="J231" t="inlineStr">
        <is>
          <t xml:space="preserve">7:34</t>
        </is>
      </c>
      <c r="K231" s="2" t="str">
        <f>HYPERLINK("https://www.youtube.com/watch?v=9C5wyAPyeoE","https://www.youtube.com/watch?v=9C5wyAPyeoE")</f>
        <v>https://www.youtube.com/watch?v=9C5wyAPyeoE</v>
      </c>
      <c r="L231" t="inlineStr">
        <is>
          <t xml:space="preserve">This tutorial will show you how to add a workflow to a SharePoint Online list using Microsoft Power Automate. Specifically, this ...</t>
        </is>
      </c>
      <c r="M231" t="inlineStr">
        <is>
          <t xml:space="preserve">power automate sharepoint automation</t>
        </is>
      </c>
    </row>
    <row r="232">
      <c r="A232" s="3">
        <v>231</v>
      </c>
      <c r="B232" t="inlineStr">
        <is>
          <t xml:space="preserve">Video</t>
        </is>
      </c>
      <c r="C232" t="inlineStr">
        <is>
          <t xml:space="preserve">English</t>
        </is>
      </c>
      <c r="D232" t="inlineStr">
        <is>
          <t xml:space="preserve">Tutorial</t>
        </is>
      </c>
      <c r="E232" t="inlineStr">
        <is>
          <t xml:space="preserve">AI/Copilot</t>
        </is>
      </c>
      <c r="F232" t="inlineStr">
        <is>
          <t xml:space="preserve">AI Builder Overview in Power Automate</t>
        </is>
      </c>
      <c r="G232" t="inlineStr">
        <is>
          <t xml:space="preserve">Microsoft Power Platform</t>
        </is>
      </c>
      <c r="H232" s="3">
        <v>8033</v>
      </c>
      <c r="I232" t="inlineStr">
        <is>
          <t xml:space="preserve">4y ago</t>
        </is>
      </c>
      <c r="J232" t="inlineStr">
        <is>
          <t xml:space="preserve">3:00</t>
        </is>
      </c>
      <c r="K232" s="2" t="str">
        <f>HYPERLINK("https://www.youtube.com/watch?v=D7p-sSauBTQ","https://www.youtube.com/watch?v=D7p-sSauBTQ")</f>
        <v>https://www.youtube.com/watch?v=D7p-sSauBTQ</v>
      </c>
      <c r="L232" t="inlineStr">
        <is>
          <t xml:space="preserve">... leverage the power platform to create an automated processing solution. The new AI builder document automation feature will ...</t>
        </is>
      </c>
      <c r="M232" t="inlineStr">
        <is>
          <t xml:space="preserve">power automate AI builder</t>
        </is>
      </c>
    </row>
    <row r="233">
      <c r="A233" s="3">
        <v>232</v>
      </c>
      <c r="B233" t="inlineStr">
        <is>
          <t xml:space="preserve">Video</t>
        </is>
      </c>
      <c r="C233" t="inlineStr">
        <is>
          <t xml:space="preserve">English</t>
        </is>
      </c>
      <c r="D233" t="inlineStr">
        <is>
          <t xml:space="preserve">Tutorial</t>
        </is>
      </c>
      <c r="E233" t="inlineStr">
        <is>
          <t xml:space="preserve">Email/Outlook</t>
        </is>
      </c>
      <c r="F233" t="inlineStr">
        <is>
          <t xml:space="preserve">Outlook + Power Automate - Reply to Emails Automatically Based on Keywords</t>
        </is>
      </c>
      <c r="G233" t="inlineStr">
        <is>
          <t xml:space="preserve">Mail Smartly</t>
        </is>
      </c>
      <c r="H233" s="3">
        <v>7159</v>
      </c>
      <c r="I233" t="inlineStr">
        <is>
          <t xml:space="preserve">1y ago</t>
        </is>
      </c>
      <c r="J233" t="inlineStr">
        <is>
          <t xml:space="preserve">9:06</t>
        </is>
      </c>
      <c r="K233" s="2" t="str">
        <f>HYPERLINK("https://www.youtube.com/watch?v=XJDmKnyEiZA","https://www.youtube.com/watch?v=XJDmKnyEiZA")</f>
        <v>https://www.youtube.com/watch?v=XJDmKnyEiZA</v>
      </c>
      <c r="L233" t="inlineStr">
        <is>
          <t xml:space="preserve">Tired of replying to the same types of emails over and over again? In this video, I'll show you how to set up an automated email ...</t>
        </is>
      </c>
      <c r="M233" t="inlineStr">
        <is>
          <t xml:space="preserve">power automate email automation outlook</t>
        </is>
      </c>
    </row>
    <row r="234">
      <c r="A234" s="3">
        <v>233</v>
      </c>
      <c r="B234" t="inlineStr">
        <is>
          <t xml:space="preserve">Video</t>
        </is>
      </c>
      <c r="C234" t="inlineStr">
        <is>
          <t xml:space="preserve">English</t>
        </is>
      </c>
      <c r="D234" t="inlineStr">
        <is>
          <t xml:space="preserve">Tutorial</t>
        </is>
      </c>
      <c r="E234" t="inlineStr">
        <is>
          <t xml:space="preserve">Desktop/RPA</t>
        </is>
      </c>
      <c r="F234" t="inlineStr">
        <is>
          <t xml:space="preserve">How to Download and Install Power Automate Desktop | Step-by-Step Guide</t>
        </is>
      </c>
      <c r="G234" t="inlineStr">
        <is>
          <t xml:space="preserve">Rishi Labs</t>
        </is>
      </c>
      <c r="H234" s="3">
        <v>6703</v>
      </c>
      <c r="I234" t="inlineStr">
        <is>
          <t xml:space="preserve">1y ago</t>
        </is>
      </c>
      <c r="J234" t="inlineStr">
        <is>
          <t xml:space="preserve">4:52</t>
        </is>
      </c>
      <c r="K234" s="2" t="str">
        <f>HYPERLINK("https://www.youtube.com/watch?v=TBaS-n31T-Q","https://www.youtube.com/watch?v=TBaS-n31T-Q")</f>
        <v>https://www.youtube.com/watch?v=TBaS-n31T-Q</v>
      </c>
      <c r="L234" t="inlineStr">
        <is>
          <t xml:space="preserve">How to Download and Install Power Automate Desktop | Step-by-Step Guide Download Link: ...</t>
        </is>
      </c>
      <c r="M234" t="inlineStr">
        <is>
          <t xml:space="preserve">power automate desktop bangla</t>
        </is>
      </c>
    </row>
    <row r="235">
      <c r="A235" s="3">
        <v>234</v>
      </c>
      <c r="B235" t="inlineStr">
        <is>
          <t xml:space="preserve">Video</t>
        </is>
      </c>
      <c r="C235" t="inlineStr">
        <is>
          <t xml:space="preserve">English</t>
        </is>
      </c>
      <c r="D235" t="inlineStr">
        <is>
          <t xml:space="preserve">Tutorial</t>
        </is>
      </c>
      <c r="E235" t="inlineStr">
        <is>
          <t xml:space="preserve">SharePoint</t>
        </is>
      </c>
      <c r="F235" t="inlineStr">
        <is>
          <t xml:space="preserve">How to Power Automate Update Item in SharePoint List | Step-by-Step 2025</t>
        </is>
      </c>
      <c r="G235" t="inlineStr">
        <is>
          <t xml:space="preserve">Dan’s Digital Desk</t>
        </is>
      </c>
      <c r="H235" s="3">
        <v>5604</v>
      </c>
      <c r="I235" t="inlineStr">
        <is>
          <t xml:space="preserve">11mo ago</t>
        </is>
      </c>
      <c r="J235" t="inlineStr">
        <is>
          <t xml:space="preserve">3:18</t>
        </is>
      </c>
      <c r="K235" s="2" t="str">
        <f>HYPERLINK("https://www.youtube.com/watch?v=BBNfFben4Hs","https://www.youtube.com/watch?v=BBNfFben4Hs")</f>
        <v>https://www.youtube.com/watch?v=BBNfFben4Hs</v>
      </c>
      <c r="L235" t="inlineStr">
        <is>
          <t xml:space="preserve">How to Power Automate Update Item in SharePoint List | Step-by-Step 2025 In this video, we'll show you how to use Power ...</t>
        </is>
      </c>
      <c r="M235" t="inlineStr">
        <is>
          <t xml:space="preserve">power automate sharepoint automation</t>
        </is>
      </c>
    </row>
    <row r="236">
      <c r="A236" s="3">
        <v>235</v>
      </c>
      <c r="B236" t="inlineStr">
        <is>
          <t xml:space="preserve">Video</t>
        </is>
      </c>
      <c r="C236" t="inlineStr">
        <is>
          <t xml:space="preserve">English</t>
        </is>
      </c>
      <c r="D236" t="inlineStr">
        <is>
          <t xml:space="preserve">Tutorial</t>
        </is>
      </c>
      <c r="E236" t="inlineStr">
        <is>
          <t xml:space="preserve">AI/Copilot</t>
        </is>
      </c>
      <c r="F236" t="inlineStr">
        <is>
          <t xml:space="preserve">How to Create Power Automate Flows with Copilot DEMO</t>
        </is>
      </c>
      <c r="G236" t="inlineStr">
        <is>
          <t xml:space="preserve">Vlad Talks Tech</t>
        </is>
      </c>
      <c r="H236" s="3">
        <v>5513</v>
      </c>
      <c r="I236" t="inlineStr">
        <is>
          <t xml:space="preserve">2y ago</t>
        </is>
      </c>
      <c r="J236" t="inlineStr">
        <is>
          <t xml:space="preserve">7:33</t>
        </is>
      </c>
      <c r="K236" s="2" t="str">
        <f>HYPERLINK("https://www.youtube.com/watch?v=3xIjOYG4Hc4","https://www.youtube.com/watch?v=3xIjOYG4Hc4")</f>
        <v>https://www.youtube.com/watch?v=3xIjOYG4Hc4</v>
      </c>
      <c r="L236" t="inlineStr">
        <is>
          <t xml:space="preserve">Are you wondering how to create Power Automate Flows in Copilot faster and more easily? In this 10-minute clip from my Copilot ...</t>
        </is>
      </c>
      <c r="M236" t="inlineStr">
        <is>
          <t xml:space="preserve">power automate copilot</t>
        </is>
      </c>
    </row>
    <row r="237">
      <c r="A237" s="3">
        <v>236</v>
      </c>
      <c r="B237" t="inlineStr">
        <is>
          <t xml:space="preserve">Video</t>
        </is>
      </c>
      <c r="C237" t="inlineStr">
        <is>
          <t xml:space="preserve">English</t>
        </is>
      </c>
      <c r="D237" t="inlineStr">
        <is>
          <t xml:space="preserve">Tutorial</t>
        </is>
      </c>
      <c r="E237" t="inlineStr">
        <is>
          <t xml:space="preserve">Desktop/RPA, Email/Outlook</t>
        </is>
      </c>
      <c r="F237" t="inlineStr">
        <is>
          <t xml:space="preserve">Power Automate Desktop - Outlook Automation (Full Tutorial)</t>
        </is>
      </c>
      <c r="G237" t="inlineStr">
        <is>
          <t xml:space="preserve">Marcelo Cruz</t>
        </is>
      </c>
      <c r="H237" s="3">
        <v>5481</v>
      </c>
      <c r="I237" t="inlineStr">
        <is>
          <t xml:space="preserve">3y ago</t>
        </is>
      </c>
      <c r="J237" t="inlineStr">
        <is>
          <t xml:space="preserve">15:43</t>
        </is>
      </c>
      <c r="K237" s="2" t="str">
        <f>HYPERLINK("https://www.youtube.com/watch?v=T6R89iP0SOI","https://www.youtube.com/watch?v=T6R89iP0SOI")</f>
        <v>https://www.youtube.com/watch?v=T6R89iP0SOI</v>
      </c>
      <c r="L237" t="inlineStr">
        <is>
          <t xml:space="preserve">On this tutorial we will learn how we can automate actions on Outlook with Power Automate Desktop.</t>
        </is>
      </c>
      <c r="M237" t="inlineStr">
        <is>
          <t xml:space="preserve">power automate email automation outlook</t>
        </is>
      </c>
    </row>
    <row r="238">
      <c r="A238" s="3">
        <v>237</v>
      </c>
      <c r="B238" t="inlineStr">
        <is>
          <t xml:space="preserve">Video</t>
        </is>
      </c>
      <c r="C238" t="inlineStr">
        <is>
          <t xml:space="preserve">English</t>
        </is>
      </c>
      <c r="D238" t="inlineStr">
        <is>
          <t xml:space="preserve">Tutorial</t>
        </is>
      </c>
      <c r="E238" t="inlineStr">
        <is>
          <t xml:space="preserve">SharePoint, Approvals</t>
        </is>
      </c>
      <c r="F238" t="inlineStr">
        <is>
          <t xml:space="preserve">Automate Approvals Using SharePoint &amp; Power Automate</t>
        </is>
      </c>
      <c r="G238" t="inlineStr">
        <is>
          <t xml:space="preserve">Tex-IT</t>
        </is>
      </c>
      <c r="H238" s="3">
        <v>4915</v>
      </c>
      <c r="I238" t="inlineStr">
        <is>
          <t xml:space="preserve">9mo ago</t>
        </is>
      </c>
      <c r="J238" t="inlineStr">
        <is>
          <t xml:space="preserve">12:15</t>
        </is>
      </c>
      <c r="K238" s="2" t="str">
        <f>HYPERLINK("https://www.youtube.com/watch?v=88np-SN2NLw","https://www.youtube.com/watch?v=88np-SN2NLw")</f>
        <v>https://www.youtube.com/watch?v=88np-SN2NLw</v>
      </c>
      <c r="L238" t="inlineStr">
        <is>
          <t xml:space="preserve">Create an Approval Process with SharePoint &amp; Power Automate (Step-by-Step Guide) Microsoft documentation: ...</t>
        </is>
      </c>
      <c r="M238" t="inlineStr">
        <is>
          <t xml:space="preserve">power automate approval workflow ; power automate sharepoint automation</t>
        </is>
      </c>
    </row>
    <row r="239">
      <c r="A239" s="3">
        <v>238</v>
      </c>
      <c r="B239" t="inlineStr">
        <is>
          <t xml:space="preserve">Video</t>
        </is>
      </c>
      <c r="C239" t="inlineStr">
        <is>
          <t xml:space="preserve">English</t>
        </is>
      </c>
      <c r="D239" t="inlineStr">
        <is>
          <t xml:space="preserve">Tutorial</t>
        </is>
      </c>
      <c r="E239" t="inlineStr">
        <is>
          <t xml:space="preserve">Desktop/RPA, Web automation</t>
        </is>
      </c>
      <c r="F239" t="inlineStr">
        <is>
          <t xml:space="preserve">Power Automate Desktop - Web Automation - Part 1</t>
        </is>
      </c>
      <c r="G239" t="inlineStr">
        <is>
          <t xml:space="preserve">Malay Vasavada</t>
        </is>
      </c>
      <c r="H239" s="3">
        <v>4809</v>
      </c>
      <c r="I239" t="inlineStr">
        <is>
          <t xml:space="preserve">10mo ago</t>
        </is>
      </c>
      <c r="J239" t="inlineStr">
        <is>
          <t xml:space="preserve">11:44</t>
        </is>
      </c>
      <c r="K239" s="2" t="str">
        <f>HYPERLINK("https://www.youtube.com/watch?v=6qu6LYcvUd4","https://www.youtube.com/watch?v=6qu6LYcvUd4")</f>
        <v>https://www.youtube.com/watch?v=6qu6LYcvUd4</v>
      </c>
      <c r="L239" t="inlineStr">
        <is>
          <t xml:space="preserve">In this detailed tutorial, I will explain how to use web-based automation to launch a browser, add a browser extension, detect a UI ...</t>
        </is>
      </c>
      <c r="M239" t="inlineStr">
        <is>
          <t xml:space="preserve">power automate desktop bangla</t>
        </is>
      </c>
    </row>
    <row r="240">
      <c r="A240" s="3">
        <v>239</v>
      </c>
      <c r="B240" t="inlineStr">
        <is>
          <t xml:space="preserve">Video</t>
        </is>
      </c>
      <c r="C240" t="inlineStr">
        <is>
          <t xml:space="preserve">English</t>
        </is>
      </c>
      <c r="D240" t="inlineStr">
        <is>
          <t xml:space="preserve">Tutorial</t>
        </is>
      </c>
      <c r="E240" t="inlineStr">
        <is>
          <t xml:space="preserve">AI/Copilot, Forms</t>
        </is>
      </c>
      <c r="F240" t="inlineStr">
        <is>
          <t xml:space="preserve">Power Platform AI Builder tutorial - Processing form with Complex Tables</t>
        </is>
      </c>
      <c r="G240" t="inlineStr">
        <is>
          <t xml:space="preserve">Deepak Shrivastava</t>
        </is>
      </c>
      <c r="H240" s="3">
        <v>4035</v>
      </c>
      <c r="I240" t="inlineStr">
        <is>
          <t xml:space="preserve">5y ago</t>
        </is>
      </c>
      <c r="J240" t="inlineStr">
        <is>
          <t xml:space="preserve">17:46</t>
        </is>
      </c>
      <c r="K240" s="2" t="str">
        <f>HYPERLINK("https://www.youtube.com/watch?v=28o1E3eMxiQ","https://www.youtube.com/watch?v=28o1E3eMxiQ")</f>
        <v>https://www.youtube.com/watch?v=28o1E3eMxiQ</v>
      </c>
      <c r="L240" t="inlineStr">
        <is>
          <t xml:space="preserve">This video will provide a Step by step walkthrough of building an Invoice Processing Solution leveraging the AI Builder Forms ...</t>
        </is>
      </c>
      <c r="M240" t="inlineStr">
        <is>
          <t xml:space="preserve">power automate AI builder</t>
        </is>
      </c>
    </row>
    <row r="241">
      <c r="A241" s="3">
        <v>240</v>
      </c>
      <c r="B241" t="inlineStr">
        <is>
          <t xml:space="preserve">Video</t>
        </is>
      </c>
      <c r="C241" t="inlineStr">
        <is>
          <t xml:space="preserve">English</t>
        </is>
      </c>
      <c r="D241" t="inlineStr">
        <is>
          <t xml:space="preserve">Tutorial</t>
        </is>
      </c>
      <c r="E241" t="inlineStr">
        <is>
          <t xml:space="preserve">AI/Copilot</t>
        </is>
      </c>
      <c r="F241" t="inlineStr">
        <is>
          <t xml:space="preserve">Stop Wasting AI Builder Credits in Power Automate!</t>
        </is>
      </c>
      <c r="G241" t="inlineStr">
        <is>
          <t xml:space="preserve">Daniel Christian</t>
        </is>
      </c>
      <c r="H241" s="3">
        <v>3735</v>
      </c>
      <c r="I241" t="inlineStr">
        <is>
          <t xml:space="preserve">1mo ago</t>
        </is>
      </c>
      <c r="J241" t="inlineStr">
        <is>
          <t xml:space="preserve">14:01</t>
        </is>
      </c>
      <c r="K241" s="2" t="str">
        <f>HYPERLINK("https://www.youtube.com/watch?v=HOGckQ_bLgk","https://www.youtube.com/watch?v=HOGckQ_bLgk")</f>
        <v>https://www.youtube.com/watch?v=HOGckQ_bLgk</v>
      </c>
      <c r="L241" t="inlineStr">
        <is>
          <t xml:space="preserve">Stop Wasting AI Builder Credits in Power Automate! Hey Everyone, In this video, I will show you how you can take an existing ...</t>
        </is>
      </c>
      <c r="M241" t="inlineStr">
        <is>
          <t xml:space="preserve">power automate AI builder</t>
        </is>
      </c>
    </row>
    <row r="242">
      <c r="A242" s="3">
        <v>241</v>
      </c>
      <c r="B242" t="inlineStr">
        <is>
          <t xml:space="preserve">Video</t>
        </is>
      </c>
      <c r="C242" t="inlineStr">
        <is>
          <t xml:space="preserve">English</t>
        </is>
      </c>
      <c r="D242" t="inlineStr">
        <is>
          <t xml:space="preserve">Tutorial</t>
        </is>
      </c>
      <c r="E242" t="inlineStr">
        <is>
          <t xml:space="preserve">AI/Copilot</t>
        </is>
      </c>
      <c r="F242" t="inlineStr">
        <is>
          <t xml:space="preserve">Document Automation with AI Builder in Power Automate |Microsoft AI Builder Tutorial [2025 Tutorial]</t>
        </is>
      </c>
      <c r="G242" t="inlineStr">
        <is>
          <t xml:space="preserve">EasyWay2Learn</t>
        </is>
      </c>
      <c r="H242" s="3">
        <v>3325</v>
      </c>
      <c r="I242" t="inlineStr">
        <is>
          <t xml:space="preserve">2y ago</t>
        </is>
      </c>
      <c r="J242" t="inlineStr">
        <is>
          <t xml:space="preserve">10:36</t>
        </is>
      </c>
      <c r="K242" s="2" t="str">
        <f>HYPERLINK("https://www.youtube.com/watch?v=EdTDWFHMV2U","https://www.youtube.com/watch?v=EdTDWFHMV2U")</f>
        <v>https://www.youtube.com/watch?v=EdTDWFHMV2U</v>
      </c>
      <c r="L242" t="inlineStr">
        <is>
          <t xml:space="preserve">In this complete Power Automate AI Builder tutorial, learn how to automate invoice and document processing by extracting data ...</t>
        </is>
      </c>
      <c r="M242" t="inlineStr">
        <is>
          <t xml:space="preserve">power automate AI builder</t>
        </is>
      </c>
    </row>
    <row r="243">
      <c r="A243" s="3">
        <v>242</v>
      </c>
      <c r="B243" t="inlineStr">
        <is>
          <t xml:space="preserve">Video</t>
        </is>
      </c>
      <c r="C243" t="inlineStr">
        <is>
          <t xml:space="preserve">English</t>
        </is>
      </c>
      <c r="D243" t="inlineStr">
        <is>
          <t xml:space="preserve">Tutorial</t>
        </is>
      </c>
      <c r="E243" t="inlineStr">
        <is>
          <t xml:space="preserve">AI/Copilot</t>
        </is>
      </c>
      <c r="F243" t="inlineStr">
        <is>
          <t xml:space="preserve">How to | Train the AI Builder in Power Automate to handle your Invoices</t>
        </is>
      </c>
      <c r="G243" t="inlineStr">
        <is>
          <t xml:space="preserve">Mathias Kjeldsen</t>
        </is>
      </c>
      <c r="H243" s="3">
        <v>2872</v>
      </c>
      <c r="I243" t="inlineStr">
        <is>
          <t xml:space="preserve">1y ago</t>
        </is>
      </c>
      <c r="J243" t="inlineStr">
        <is>
          <t xml:space="preserve">21:03</t>
        </is>
      </c>
      <c r="K243" s="2" t="str">
        <f>HYPERLINK("https://www.youtube.com/watch?v=NpzB1HvROco","https://www.youtube.com/watch?v=NpzB1HvROco")</f>
        <v>https://www.youtube.com/watch?v=NpzB1HvROco</v>
      </c>
      <c r="L243" t="inlineStr">
        <is>
          <t xml:space="preserve">Find the files here, if you want to follow along: ...</t>
        </is>
      </c>
      <c r="M243" t="inlineStr">
        <is>
          <t xml:space="preserve">power automate AI builder</t>
        </is>
      </c>
    </row>
    <row r="244">
      <c r="A244" s="3">
        <v>243</v>
      </c>
      <c r="B244" t="inlineStr">
        <is>
          <t xml:space="preserve">Video</t>
        </is>
      </c>
      <c r="C244" t="inlineStr">
        <is>
          <t xml:space="preserve">English</t>
        </is>
      </c>
      <c r="D244" t="inlineStr">
        <is>
          <t xml:space="preserve">Tutorial</t>
        </is>
      </c>
      <c r="E244" t="inlineStr">
        <is>
          <t xml:space="preserve">SharePoint</t>
        </is>
      </c>
      <c r="F244" t="inlineStr">
        <is>
          <t xml:space="preserve">Automation OneDrive to SharePoint | automation without any coding #powerautomate</t>
        </is>
      </c>
      <c r="G244" t="inlineStr">
        <is>
          <t xml:space="preserve">Gyan On Tube</t>
        </is>
      </c>
      <c r="H244" s="3">
        <v>2661</v>
      </c>
      <c r="I244" t="inlineStr">
        <is>
          <t xml:space="preserve">4y ago</t>
        </is>
      </c>
      <c r="J244" t="inlineStr">
        <is>
          <t xml:space="preserve">6:42</t>
        </is>
      </c>
      <c r="K244" s="2" t="str">
        <f>HYPERLINK("https://www.youtube.com/watch?v=6PSpGp7sfcg","https://www.youtube.com/watch?v=6PSpGp7sfcg")</f>
        <v>https://www.youtube.com/watch?v=6PSpGp7sfcg</v>
      </c>
      <c r="L244" t="inlineStr">
        <is>
          <t xml:space="preserve">Microsoft #PowerAutomate is a tool that helps users to create automated #workflows between desired applications to synchronize ...</t>
        </is>
      </c>
      <c r="M244" t="inlineStr">
        <is>
          <t xml:space="preserve">power automate sharepoint automation</t>
        </is>
      </c>
    </row>
    <row r="245">
      <c r="A245" s="3">
        <v>244</v>
      </c>
      <c r="B245" t="inlineStr">
        <is>
          <t xml:space="preserve">Video</t>
        </is>
      </c>
      <c r="C245" t="inlineStr">
        <is>
          <t xml:space="preserve">English</t>
        </is>
      </c>
      <c r="D245" t="inlineStr">
        <is>
          <t xml:space="preserve">Tutorial</t>
        </is>
      </c>
      <c r="E245" t="inlineStr">
        <is>
          <t xml:space="preserve">Desktop/RPA, Email/Outlook</t>
        </is>
      </c>
      <c r="F245" t="inlineStr">
        <is>
          <t xml:space="preserve">The EXACT Outlook Email Workflow with Power Automate Desktop - That Saves Hours Every Week</t>
        </is>
      </c>
      <c r="G245" t="inlineStr">
        <is>
          <t xml:space="preserve">Be Industry Ready and Muthuraj Subbian</t>
        </is>
      </c>
      <c r="H245" s="3">
        <v>2233</v>
      </c>
      <c r="I245" t="inlineStr">
        <is>
          <t xml:space="preserve">3mo ago</t>
        </is>
      </c>
      <c r="J245" t="inlineStr">
        <is>
          <t xml:space="preserve">18:39</t>
        </is>
      </c>
      <c r="K245" s="2" t="str">
        <f>HYPERLINK("https://www.youtube.com/watch?v=hzXfWwqxZyc","https://www.youtube.com/watch?v=hzXfWwqxZyc")</f>
        <v>https://www.youtube.com/watch?v=hzXfWwqxZyc</v>
      </c>
      <c r="L245" t="inlineStr">
        <is>
          <t xml:space="preserve">Struggling to manage your Outlook inbox? In this lesson, you'll learn how to automate your Outlook email processing using Power ...</t>
        </is>
      </c>
      <c r="M245" t="inlineStr">
        <is>
          <t xml:space="preserve">power automate email automation outlook</t>
        </is>
      </c>
    </row>
    <row r="246">
      <c r="A246" s="3">
        <v>245</v>
      </c>
      <c r="B246" t="inlineStr">
        <is>
          <t xml:space="preserve">Video</t>
        </is>
      </c>
      <c r="C246" t="inlineStr">
        <is>
          <t xml:space="preserve">English</t>
        </is>
      </c>
      <c r="D246" t="inlineStr">
        <is>
          <t xml:space="preserve">Tutorial</t>
        </is>
      </c>
      <c r="E246" t="inlineStr">
        <is>
          <t xml:space="preserve">SharePoint, AI/Copilot</t>
        </is>
      </c>
      <c r="F246" t="inlineStr">
        <is>
          <t xml:space="preserve">How To Use Microsoft Power Automate With Copilot Studio To Automate Your Processes</t>
        </is>
      </c>
      <c r="G246" t="inlineStr">
        <is>
          <t xml:space="preserve">Joel McWilliam</t>
        </is>
      </c>
      <c r="H246" s="3">
        <v>2217</v>
      </c>
      <c r="I246" t="inlineStr">
        <is>
          <t xml:space="preserve">7mo ago</t>
        </is>
      </c>
      <c r="J246" t="inlineStr">
        <is>
          <t xml:space="preserve">6:38</t>
        </is>
      </c>
      <c r="K246" s="2" t="str">
        <f>HYPERLINK("https://www.youtube.com/watch?v=yPmna0teubA","https://www.youtube.com/watch?v=yPmna0teubA")</f>
        <v>https://www.youtube.com/watch?v=yPmna0teubA</v>
      </c>
      <c r="L246" t="inlineStr">
        <is>
          <t xml:space="preserve">In this video, I'll show how you can use Power Automate, Copilot Studio and SharePoint to turn this into a far more seamless ...</t>
        </is>
      </c>
      <c r="M246" t="inlineStr">
        <is>
          <t xml:space="preserve">power automate copilot</t>
        </is>
      </c>
    </row>
    <row r="247">
      <c r="A247" s="3">
        <v>246</v>
      </c>
      <c r="B247" t="inlineStr">
        <is>
          <t xml:space="preserve">Video</t>
        </is>
      </c>
      <c r="C247" t="inlineStr">
        <is>
          <t xml:space="preserve">English</t>
        </is>
      </c>
      <c r="D247" t="inlineStr">
        <is>
          <t xml:space="preserve">Tutorial</t>
        </is>
      </c>
      <c r="E247" t="inlineStr">
        <is>
          <t xml:space="preserve">Cloud flows</t>
        </is>
      </c>
      <c r="F247" t="inlineStr">
        <is>
          <t xml:space="preserve">How to Create an Automated Cloud Flow || 7</t>
        </is>
      </c>
      <c r="G247" t="inlineStr">
        <is>
          <t xml:space="preserve">Microsoft Dynamics 365 &amp; Power Platform</t>
        </is>
      </c>
      <c r="H247" s="3">
        <v>2048</v>
      </c>
      <c r="I247" t="inlineStr">
        <is>
          <t xml:space="preserve">1y ago</t>
        </is>
      </c>
      <c r="J247" t="inlineStr">
        <is>
          <t xml:space="preserve">2:46</t>
        </is>
      </c>
      <c r="K247" s="2" t="str">
        <f>HYPERLINK("https://www.youtube.com/watch?v=mY3bqv4IUjc","https://www.youtube.com/watch?v=mY3bqv4IUjc")</f>
        <v>https://www.youtube.com/watch?v=mY3bqv4IUjc</v>
      </c>
      <c r="L247" t="inlineStr">
        <is>
          <t xml:space="preserve">Learn how to create an automated cloud flow in Power Automate step-by-step. This guide covers selecting triggers, adding ...</t>
        </is>
      </c>
      <c r="M247" t="inlineStr">
        <is>
          <t xml:space="preserve">power automate cloud flow tutorial</t>
        </is>
      </c>
    </row>
    <row r="248">
      <c r="A248" s="3">
        <v>247</v>
      </c>
      <c r="B248" t="inlineStr">
        <is>
          <t xml:space="preserve">Video</t>
        </is>
      </c>
      <c r="C248" t="inlineStr">
        <is>
          <t xml:space="preserve">English</t>
        </is>
      </c>
      <c r="D248" t="inlineStr">
        <is>
          <t xml:space="preserve">Tutorial</t>
        </is>
      </c>
      <c r="E248" t="inlineStr">
        <is>
          <t xml:space="preserve">Desktop/RPA, Excel</t>
        </is>
      </c>
      <c r="F248" t="inlineStr">
        <is>
          <t xml:space="preserve">Excel Automation in Power Automate Desktop | Power Automate Desktop Tutorials | KT Sessions</t>
        </is>
      </c>
      <c r="G248" t="inlineStr">
        <is>
          <t xml:space="preserve">KT Sessions</t>
        </is>
      </c>
      <c r="H248" s="3">
        <v>1714</v>
      </c>
      <c r="I248" t="inlineStr">
        <is>
          <t xml:space="preserve">1y ago</t>
        </is>
      </c>
      <c r="J248" t="inlineStr">
        <is>
          <t xml:space="preserve">16:18</t>
        </is>
      </c>
      <c r="K248" s="2" t="str">
        <f>HYPERLINK("https://www.youtube.com/watch?v=yf5355LnEdE","https://www.youtube.com/watch?v=yf5355LnEdE")</f>
        <v>https://www.youtube.com/watch?v=yf5355LnEdE</v>
      </c>
      <c r="L248" t="inlineStr">
        <is>
          <t xml:space="preserve">We'll show you how to read and write data in Excel seamlessly. Whether you're extracting data for processing or updating ...</t>
        </is>
      </c>
      <c r="M248" t="inlineStr">
        <is>
          <t xml:space="preserve">power automate excel automation</t>
        </is>
      </c>
    </row>
    <row r="249">
      <c r="A249" s="3">
        <v>248</v>
      </c>
      <c r="B249" t="inlineStr">
        <is>
          <t xml:space="preserve">Video</t>
        </is>
      </c>
      <c r="C249" t="inlineStr">
        <is>
          <t xml:space="preserve">English</t>
        </is>
      </c>
      <c r="D249" t="inlineStr">
        <is>
          <t xml:space="preserve">Tutorial</t>
        </is>
      </c>
      <c r="E249" t="inlineStr">
        <is>
          <t xml:space="preserve">Cloud flows</t>
        </is>
      </c>
      <c r="F249" t="inlineStr">
        <is>
          <t xml:space="preserve">Power Automate Tutorial for Beginners | Create an Automated Cloud Flow Step-by-Step</t>
        </is>
      </c>
      <c r="G249" t="inlineStr">
        <is>
          <t xml:space="preserve">Microsoft Dynamics 365 &amp; Power Platform</t>
        </is>
      </c>
      <c r="H249" s="3">
        <v>1596</v>
      </c>
      <c r="I249" t="inlineStr">
        <is>
          <t xml:space="preserve">10mo ago</t>
        </is>
      </c>
      <c r="J249" t="inlineStr">
        <is>
          <t xml:space="preserve">3:49</t>
        </is>
      </c>
      <c r="K249" s="2" t="str">
        <f>HYPERLINK("https://www.youtube.com/watch?v=Sqk9aYEhd90","https://www.youtube.com/watch?v=Sqk9aYEhd90")</f>
        <v>https://www.youtube.com/watch?v=Sqk9aYEhd90</v>
      </c>
      <c r="L249" t="inlineStr">
        <is>
          <t xml:space="preserve">In this Power Automate tutorial for beginners, you'll learn how to create an Automated Cloud Flow from scratch in Microsoft Power ...</t>
        </is>
      </c>
      <c r="M249" t="inlineStr">
        <is>
          <t xml:space="preserve">power automate cloud flow tutorial</t>
        </is>
      </c>
    </row>
    <row r="250">
      <c r="A250" s="3">
        <v>249</v>
      </c>
      <c r="B250" t="inlineStr">
        <is>
          <t xml:space="preserve">Video</t>
        </is>
      </c>
      <c r="C250" t="inlineStr">
        <is>
          <t xml:space="preserve">English</t>
        </is>
      </c>
      <c r="D250" t="inlineStr">
        <is>
          <t xml:space="preserve">Tutorial</t>
        </is>
      </c>
      <c r="E250" t="inlineStr">
        <is>
          <t xml:space="preserve">AI/Copilot</t>
        </is>
      </c>
      <c r="F250" t="inlineStr">
        <is>
          <t xml:space="preserve">How to Use Power Automate AI Copilot Easily 2026</t>
        </is>
      </c>
      <c r="G250" t="inlineStr">
        <is>
          <t xml:space="preserve">PMN Online</t>
        </is>
      </c>
      <c r="H250" s="3">
        <v>1485</v>
      </c>
      <c r="I250" t="inlineStr">
        <is>
          <t xml:space="preserve">2mo ago</t>
        </is>
      </c>
      <c r="J250" t="inlineStr">
        <is>
          <t xml:space="preserve">8:13</t>
        </is>
      </c>
      <c r="K250" s="2" t="str">
        <f>HYPERLINK("https://www.youtube.com/watch?v=BmNChhZzSNw","https://www.youtube.com/watch?v=BmNChhZzSNw")</f>
        <v>https://www.youtube.com/watch?v=BmNChhZzSNw</v>
      </c>
      <c r="L250" t="inlineStr">
        <is>
          <t xml:space="preserve">In this video I have shown How to Use Power Automate AI Copilot Easily 2026. If you want to build workflows faster using artificial ...</t>
        </is>
      </c>
      <c r="M250" t="inlineStr">
        <is>
          <t xml:space="preserve">power automate copilot</t>
        </is>
      </c>
    </row>
    <row r="251">
      <c r="A251" s="3">
        <v>250</v>
      </c>
      <c r="B251" t="inlineStr">
        <is>
          <t xml:space="preserve">Video</t>
        </is>
      </c>
      <c r="C251" t="inlineStr">
        <is>
          <t xml:space="preserve">English</t>
        </is>
      </c>
      <c r="D251" t="inlineStr">
        <is>
          <t xml:space="preserve">Tutorial</t>
        </is>
      </c>
      <c r="E251" t="inlineStr">
        <is>
          <t xml:space="preserve">Cloud flows</t>
        </is>
      </c>
      <c r="F251" t="inlineStr">
        <is>
          <t xml:space="preserve">Power Automate Tutorial For Beginners | Types of Cloud Flows</t>
        </is>
      </c>
      <c r="G251" t="inlineStr">
        <is>
          <t xml:space="preserve">KT Sessions</t>
        </is>
      </c>
      <c r="H251" s="3">
        <v>1474</v>
      </c>
      <c r="I251" t="inlineStr">
        <is>
          <t xml:space="preserve">1y ago</t>
        </is>
      </c>
      <c r="J251" t="inlineStr">
        <is>
          <t xml:space="preserve">28:12</t>
        </is>
      </c>
      <c r="K251" s="2" t="str">
        <f>HYPERLINK("https://www.youtube.com/watch?v=aPgFr4Mmdag","https://www.youtube.com/watch?v=aPgFr4Mmdag")</f>
        <v>https://www.youtube.com/watch?v=aPgFr4Mmdag</v>
      </c>
      <c r="L251" t="inlineStr">
        <is>
          <t xml:space="preserve">In this beginner-friendly guide, we'll walk you through Power Automate from scratch. You'll learn: ✓ What is Power Automate ...</t>
        </is>
      </c>
      <c r="M251" t="inlineStr">
        <is>
          <t xml:space="preserve">power automate cloud flow tutorial</t>
        </is>
      </c>
    </row>
    <row r="252">
      <c r="A252" s="3">
        <v>251</v>
      </c>
      <c r="B252" t="inlineStr">
        <is>
          <t xml:space="preserve">Video</t>
        </is>
      </c>
      <c r="C252" t="inlineStr">
        <is>
          <t xml:space="preserve">English</t>
        </is>
      </c>
      <c r="D252" t="inlineStr">
        <is>
          <t xml:space="preserve">Tutorial</t>
        </is>
      </c>
      <c r="E252" t="inlineStr">
        <is>
          <t xml:space="preserve">Excel, Email/Outlook</t>
        </is>
      </c>
      <c r="F252" t="inlineStr">
        <is>
          <t xml:space="preserve">How to Read From Excel and Send Email in Power Automate Easily 2026</t>
        </is>
      </c>
      <c r="G252" t="inlineStr">
        <is>
          <t xml:space="preserve">PMN Online</t>
        </is>
      </c>
      <c r="H252" s="3">
        <v>1196</v>
      </c>
      <c r="I252" t="inlineStr">
        <is>
          <t xml:space="preserve">2mo ago</t>
        </is>
      </c>
      <c r="J252" t="inlineStr">
        <is>
          <t xml:space="preserve">8:28</t>
        </is>
      </c>
      <c r="K252" s="2" t="str">
        <f>HYPERLINK("https://www.youtube.com/watch?v=f5YrgBEnE8g","https://www.youtube.com/watch?v=f5YrgBEnE8g")</f>
        <v>https://www.youtube.com/watch?v=f5YrgBEnE8g</v>
      </c>
      <c r="L252" t="inlineStr">
        <is>
          <t xml:space="preserve">In this video I have shown How to Read From Excel and Send Email in Power Automate Easily 2026. If you want to automate ...</t>
        </is>
      </c>
      <c r="M252" t="inlineStr">
        <is>
          <t xml:space="preserve">power automate excel automation ; power automate email automation outlook</t>
        </is>
      </c>
    </row>
    <row r="253">
      <c r="A253" s="3">
        <v>252</v>
      </c>
      <c r="B253" t="inlineStr">
        <is>
          <t xml:space="preserve">Video</t>
        </is>
      </c>
      <c r="C253" t="inlineStr">
        <is>
          <t xml:space="preserve">English</t>
        </is>
      </c>
      <c r="D253" t="inlineStr">
        <is>
          <t xml:space="preserve">Tutorial</t>
        </is>
      </c>
      <c r="E253" t="inlineStr">
        <is>
          <t xml:space="preserve">SharePoint, Excel, Power Apps</t>
        </is>
      </c>
      <c r="F253" t="inlineStr">
        <is>
          <t xml:space="preserve">Power Automate: Generate Excel Reports From Power Automate Flow-Part -1</t>
        </is>
      </c>
      <c r="G253" t="inlineStr">
        <is>
          <t xml:space="preserve">Blue Square Technologies</t>
        </is>
      </c>
      <c r="H253" s="3">
        <v>1100</v>
      </c>
      <c r="I253" t="inlineStr">
        <is>
          <t xml:space="preserve">1y ago</t>
        </is>
      </c>
      <c r="J253" t="inlineStr">
        <is>
          <t xml:space="preserve">16:05</t>
        </is>
      </c>
      <c r="K253" s="2" t="str">
        <f>HYPERLINK("https://www.youtube.com/watch?v=A5wiff-BkIw","https://www.youtube.com/watch?v=A5wiff-BkIw")</f>
        <v>https://www.youtube.com/watch?v=A5wiff-BkIw</v>
      </c>
      <c r="L253" t="inlineStr">
        <is>
          <t xml:space="preserve">So to create a Excel report from the power autate flow and SharePoint we can navigate to the make. power apps.com and from ...</t>
        </is>
      </c>
      <c r="M253" t="inlineStr">
        <is>
          <t xml:space="preserve">power automate excel automation</t>
        </is>
      </c>
    </row>
    <row r="254">
      <c r="A254" s="3">
        <v>253</v>
      </c>
      <c r="B254" t="inlineStr">
        <is>
          <t xml:space="preserve">Video</t>
        </is>
      </c>
      <c r="C254" t="inlineStr">
        <is>
          <t xml:space="preserve">English</t>
        </is>
      </c>
      <c r="D254" t="inlineStr">
        <is>
          <t xml:space="preserve">Tutorial</t>
        </is>
      </c>
      <c r="E254" t="inlineStr">
        <is>
          <t xml:space="preserve">AI/Copilot</t>
        </is>
      </c>
      <c r="F254" t="inlineStr">
        <is>
          <t xml:space="preserve">How to Use the AI Builder in Power Automate | Step-by-Step Guide</t>
        </is>
      </c>
      <c r="G254" t="inlineStr">
        <is>
          <t xml:space="preserve">Jide Fajuke</t>
        </is>
      </c>
      <c r="H254" s="3">
        <v>1084</v>
      </c>
      <c r="I254" t="inlineStr">
        <is>
          <t xml:space="preserve">1y ago</t>
        </is>
      </c>
      <c r="J254" t="inlineStr">
        <is>
          <t xml:space="preserve">8:57</t>
        </is>
      </c>
      <c r="K254" s="2" t="str">
        <f>HYPERLINK("https://www.youtube.com/watch?v=vj9mIL-wMiQ","https://www.youtube.com/watch?v=vj9mIL-wMiQ")</f>
        <v>https://www.youtube.com/watch?v=vj9mIL-wMiQ</v>
      </c>
      <c r="L254" t="inlineStr">
        <is>
          <t xml:space="preserve">Discover how to use the AI Hub in Power Automate to add intelligent automation to your workflows. From extracting data to making ...</t>
        </is>
      </c>
      <c r="M254" t="inlineStr">
        <is>
          <t xml:space="preserve">power automate AI builder</t>
        </is>
      </c>
    </row>
    <row r="255">
      <c r="A255" s="3">
        <v>254</v>
      </c>
      <c r="B255" t="inlineStr">
        <is>
          <t xml:space="preserve">Video</t>
        </is>
      </c>
      <c r="C255" t="inlineStr">
        <is>
          <t xml:space="preserve">English</t>
        </is>
      </c>
      <c r="D255" t="inlineStr">
        <is>
          <t xml:space="preserve">Tutorial</t>
        </is>
      </c>
      <c r="E255" t="inlineStr">
        <is>
          <t xml:space="preserve">AI/Copilot</t>
        </is>
      </c>
      <c r="F255" t="inlineStr">
        <is>
          <t xml:space="preserve">How to Use Microsoft AI Builder With Power Automate Easily 2026</t>
        </is>
      </c>
      <c r="G255" t="inlineStr">
        <is>
          <t xml:space="preserve">PMN Online</t>
        </is>
      </c>
      <c r="H255" s="3">
        <v>725</v>
      </c>
      <c r="I255" t="inlineStr">
        <is>
          <t xml:space="preserve">2mo ago</t>
        </is>
      </c>
      <c r="J255" t="inlineStr">
        <is>
          <t xml:space="preserve">8:43</t>
        </is>
      </c>
      <c r="K255" s="2" t="str">
        <f>HYPERLINK("https://www.youtube.com/watch?v=6gAQFUtqEwU","https://www.youtube.com/watch?v=6gAQFUtqEwU")</f>
        <v>https://www.youtube.com/watch?v=6gAQFUtqEwU</v>
      </c>
      <c r="L255" t="inlineStr">
        <is>
          <t xml:space="preserve">In this video I have shown How to Use Microsoft AI Builder With Power Automate Easily 2026. If you want to add artificial ...</t>
        </is>
      </c>
      <c r="M255" t="inlineStr">
        <is>
          <t xml:space="preserve">power automate AI builder</t>
        </is>
      </c>
    </row>
    <row r="256">
      <c r="A256" s="3">
        <v>255</v>
      </c>
      <c r="B256" t="inlineStr">
        <is>
          <t xml:space="preserve">Video</t>
        </is>
      </c>
      <c r="C256" t="inlineStr">
        <is>
          <t xml:space="preserve">English</t>
        </is>
      </c>
      <c r="D256" t="inlineStr">
        <is>
          <t xml:space="preserve">Tutorial</t>
        </is>
      </c>
      <c r="E256" t="inlineStr">
        <is>
          <t xml:space="preserve"/>
        </is>
      </c>
      <c r="F256" t="inlineStr">
        <is>
          <t xml:space="preserve">Build Your First Power Automate Flow  (Step by Step for Beginners)</t>
        </is>
      </c>
      <c r="G256" t="inlineStr">
        <is>
          <t xml:space="preserve">Power Platform with Nibha</t>
        </is>
      </c>
      <c r="H256" s="3">
        <v>712</v>
      </c>
      <c r="I256" t="inlineStr">
        <is>
          <t xml:space="preserve">5mo ago</t>
        </is>
      </c>
      <c r="J256" t="inlineStr">
        <is>
          <t xml:space="preserve">12:40</t>
        </is>
      </c>
      <c r="K256" s="2" t="str">
        <f>HYPERLINK("https://www.youtube.com/watch?v=UMriCzCV2kk","https://www.youtube.com/watch?v=UMriCzCV2kk")</f>
        <v>https://www.youtube.com/watch?v=UMriCzCV2kk</v>
      </c>
      <c r="L256" t="inlineStr">
        <is>
          <t xml:space="preserve">In this video, we're building your very first Power Automate flow — together, step by step. By the end of this video, you will have a ...</t>
        </is>
      </c>
      <c r="M256" t="inlineStr">
        <is>
          <t xml:space="preserve">power automate tutorial for beginners</t>
        </is>
      </c>
    </row>
    <row r="257">
      <c r="A257" s="3">
        <v>256</v>
      </c>
      <c r="B257" t="inlineStr">
        <is>
          <t xml:space="preserve">Video</t>
        </is>
      </c>
      <c r="C257" t="inlineStr">
        <is>
          <t xml:space="preserve">English</t>
        </is>
      </c>
      <c r="D257" t="inlineStr">
        <is>
          <t xml:space="preserve">Tutorial</t>
        </is>
      </c>
      <c r="E257" t="inlineStr">
        <is>
          <t xml:space="preserve">Desktop/RPA</t>
        </is>
      </c>
      <c r="F257" t="inlineStr">
        <is>
          <t xml:space="preserve">Create Desktop Flow in Power Automate Desktop | Full Tutorial</t>
        </is>
      </c>
      <c r="G257" t="inlineStr">
        <is>
          <t xml:space="preserve">BinaryRoots</t>
        </is>
      </c>
      <c r="H257" s="3">
        <v>657</v>
      </c>
      <c r="I257" t="inlineStr">
        <is>
          <t xml:space="preserve">11mo ago</t>
        </is>
      </c>
      <c r="J257" t="inlineStr">
        <is>
          <t xml:space="preserve">3:16</t>
        </is>
      </c>
      <c r="K257" s="2" t="str">
        <f>HYPERLINK("https://www.youtube.com/watch?v=XmxQgTzMTqA","https://www.youtube.com/watch?v=XmxQgTzMTqA")</f>
        <v>https://www.youtube.com/watch?v=XmxQgTzMTqA</v>
      </c>
      <c r="L257" t="inlineStr">
        <is>
          <t xml:space="preserve">Learn how to create Desktop Flows in Power Automate Desktop with this complete step-by-step tutorial! In this tutorial, you'll ...</t>
        </is>
      </c>
      <c r="M257" t="inlineStr">
        <is>
          <t xml:space="preserve">power automate desktop project</t>
        </is>
      </c>
    </row>
    <row r="258">
      <c r="A258" s="3">
        <v>257</v>
      </c>
      <c r="B258" t="inlineStr">
        <is>
          <t xml:space="preserve">Video</t>
        </is>
      </c>
      <c r="C258" t="inlineStr">
        <is>
          <t xml:space="preserve">English</t>
        </is>
      </c>
      <c r="D258" t="inlineStr">
        <is>
          <t xml:space="preserve">Tutorial</t>
        </is>
      </c>
      <c r="E258" t="inlineStr">
        <is>
          <t xml:space="preserve">Approvals</t>
        </is>
      </c>
      <c r="F258" t="inlineStr">
        <is>
          <t xml:space="preserve">Power Automate Approvals Made EASY! 🚀 Complete Guide + Real Demo</t>
        </is>
      </c>
      <c r="G258" t="inlineStr">
        <is>
          <t xml:space="preserve">helpmecoder</t>
        </is>
      </c>
      <c r="H258" s="3">
        <v>608</v>
      </c>
      <c r="I258" t="inlineStr">
        <is>
          <t xml:space="preserve">3w ago</t>
        </is>
      </c>
      <c r="J258" t="inlineStr">
        <is>
          <t xml:space="preserve">35:17</t>
        </is>
      </c>
      <c r="K258" s="2" t="str">
        <f>HYPERLINK("https://www.youtube.com/watch?v=04Epp2iS6EA","https://www.youtube.com/watch?v=04Epp2iS6EA")</f>
        <v>https://www.youtube.com/watch?v=04Epp2iS6EA</v>
      </c>
      <c r="L258" t="inlineStr">
        <is>
          <t xml:space="preserve">Want to automate approval processes using Microsoft Power Automate? In this video, we'll take a complete look at Power ...</t>
        </is>
      </c>
      <c r="M258" t="inlineStr">
        <is>
          <t xml:space="preserve">power automate approval workflow</t>
        </is>
      </c>
    </row>
    <row r="259">
      <c r="A259" s="3">
        <v>258</v>
      </c>
      <c r="B259" t="inlineStr">
        <is>
          <t xml:space="preserve">Video</t>
        </is>
      </c>
      <c r="C259" t="inlineStr">
        <is>
          <t xml:space="preserve">English</t>
        </is>
      </c>
      <c r="D259" t="inlineStr">
        <is>
          <t xml:space="preserve">Tutorial</t>
        </is>
      </c>
      <c r="E259" t="inlineStr">
        <is>
          <t xml:space="preserve"/>
        </is>
      </c>
      <c r="F259" t="inlineStr">
        <is>
          <t xml:space="preserve">Power Automate Advanced Tutorial</t>
        </is>
      </c>
      <c r="G259" t="inlineStr">
        <is>
          <t xml:space="preserve">Learn Skills Daily</t>
        </is>
      </c>
      <c r="H259" s="3">
        <v>581</v>
      </c>
      <c r="I259" t="inlineStr">
        <is>
          <t xml:space="preserve">3y ago</t>
        </is>
      </c>
      <c r="J259" t="inlineStr">
        <is>
          <t xml:space="preserve">1:49:51</t>
        </is>
      </c>
      <c r="K259" s="2" t="str">
        <f>HYPERLINK("https://www.youtube.com/watch?v=_lrviWxP7qo","https://www.youtube.com/watch?v=_lrviWxP7qo")</f>
        <v>https://www.youtube.com/watch?v=_lrviWxP7qo</v>
      </c>
      <c r="L259" t="inlineStr">
        <is>
          <t xml:space="preserve">Power Automate Advanced Tutorial Get Ad-Free Training by becoming a member today!</t>
        </is>
      </c>
      <c r="M259" t="inlineStr">
        <is>
          <t xml:space="preserve">power automate advanced tutorial</t>
        </is>
      </c>
    </row>
    <row r="260">
      <c r="A260" s="3">
        <v>259</v>
      </c>
      <c r="B260" t="inlineStr">
        <is>
          <t xml:space="preserve">Video</t>
        </is>
      </c>
      <c r="C260" t="inlineStr">
        <is>
          <t xml:space="preserve">English</t>
        </is>
      </c>
      <c r="D260" t="inlineStr">
        <is>
          <t xml:space="preserve">Tutorial</t>
        </is>
      </c>
      <c r="E260" t="inlineStr">
        <is>
          <t xml:space="preserve">Desktop/RPA</t>
        </is>
      </c>
      <c r="F260" t="inlineStr">
        <is>
          <t xml:space="preserve">Power Automate Desktop Beginner Tutorial | Automate Google Search in 6 Minutes</t>
        </is>
      </c>
      <c r="G260" t="inlineStr">
        <is>
          <t xml:space="preserve">Smart Bot Sphere</t>
        </is>
      </c>
      <c r="H260" s="3">
        <v>475</v>
      </c>
      <c r="I260" t="inlineStr">
        <is>
          <t xml:space="preserve">4mo ago</t>
        </is>
      </c>
      <c r="J260" t="inlineStr">
        <is>
          <t xml:space="preserve">6:11</t>
        </is>
      </c>
      <c r="K260" s="2" t="str">
        <f>HYPERLINK("https://www.youtube.com/watch?v=RUZ9NMIbUQk","https://www.youtube.com/watch?v=RUZ9NMIbUQk")</f>
        <v>https://www.youtube.com/watch?v=RUZ9NMIbUQk</v>
      </c>
      <c r="L260" t="inlineStr">
        <is>
          <t xml:space="preserve">Learn how to automate a basic Google Search using Power Automate Desktop in just 6 minutes — completely beginner friendly ...</t>
        </is>
      </c>
      <c r="M260" t="inlineStr">
        <is>
          <t xml:space="preserve">power automate desktop project</t>
        </is>
      </c>
    </row>
    <row r="261">
      <c r="A261" s="3">
        <v>260</v>
      </c>
      <c r="B261" t="inlineStr">
        <is>
          <t xml:space="preserve">Video</t>
        </is>
      </c>
      <c r="C261" t="inlineStr">
        <is>
          <t xml:space="preserve">English</t>
        </is>
      </c>
      <c r="D261" t="inlineStr">
        <is>
          <t xml:space="preserve">Tutorial</t>
        </is>
      </c>
      <c r="E261" t="inlineStr">
        <is>
          <t xml:space="preserve">AI/Copilot</t>
        </is>
      </c>
      <c r="F261" t="inlineStr">
        <is>
          <t xml:space="preserve">Classify Text Automatically with AI Builder in Power Automate</t>
        </is>
      </c>
      <c r="G261" t="inlineStr">
        <is>
          <t xml:space="preserve">Power Tech Speck (Girish Uppal)</t>
        </is>
      </c>
      <c r="H261" s="3">
        <v>449</v>
      </c>
      <c r="I261" t="inlineStr">
        <is>
          <t xml:space="preserve">5mo ago</t>
        </is>
      </c>
      <c r="J261" t="inlineStr">
        <is>
          <t xml:space="preserve">13:13</t>
        </is>
      </c>
      <c r="K261" s="2" t="str">
        <f>HYPERLINK("https://www.youtube.com/watch?v=6YRA-2pmCrw","https://www.youtube.com/watch?v=6YRA-2pmCrw")</f>
        <v>https://www.youtube.com/watch?v=6YRA-2pmCrw</v>
      </c>
      <c r="L261" t="inlineStr">
        <is>
          <t xml:space="preserve">This video explores the category classification action within AI Builder, a powerful feature for ai automation in Power Automate.</t>
        </is>
      </c>
      <c r="M261" t="inlineStr">
        <is>
          <t xml:space="preserve">power automate AI builder</t>
        </is>
      </c>
    </row>
    <row r="262">
      <c r="A262" s="3">
        <v>261</v>
      </c>
      <c r="B262" t="inlineStr">
        <is>
          <t xml:space="preserve">Video</t>
        </is>
      </c>
      <c r="C262" t="inlineStr">
        <is>
          <t xml:space="preserve">English</t>
        </is>
      </c>
      <c r="D262" t="inlineStr">
        <is>
          <t xml:space="preserve">Tutorial</t>
        </is>
      </c>
      <c r="E262" t="inlineStr">
        <is>
          <t xml:space="preserve">AI/Copilot</t>
        </is>
      </c>
      <c r="F262" t="inlineStr">
        <is>
          <t xml:space="preserve">How to Build Zero-Code Workflows Using Copilot &amp; Power Automate (Step-by-Step)</t>
        </is>
      </c>
      <c r="G262" t="inlineStr">
        <is>
          <t xml:space="preserve">AI Workflow Lab</t>
        </is>
      </c>
      <c r="H262" s="3">
        <v>334</v>
      </c>
      <c r="I262" t="inlineStr">
        <is>
          <t xml:space="preserve">10mo ago</t>
        </is>
      </c>
      <c r="J262" t="inlineStr">
        <is>
          <t xml:space="preserve">12:03</t>
        </is>
      </c>
      <c r="K262" s="2" t="str">
        <f>HYPERLINK("https://www.youtube.com/watch?v=Qmscdcr1gy4","https://www.youtube.com/watch?v=Qmscdcr1gy4")</f>
        <v>https://www.youtube.com/watch?v=Qmscdcr1gy4</v>
      </c>
      <c r="L262" t="inlineStr">
        <is>
          <t xml:space="preserve">Forget complicated automation setup—with Microsoft Copilot, you can create Power Automate flows using plain English.</t>
        </is>
      </c>
      <c r="M262" t="inlineStr">
        <is>
          <t xml:space="preserve">power automate copilot</t>
        </is>
      </c>
    </row>
    <row r="263">
      <c r="A263" s="3">
        <v>262</v>
      </c>
      <c r="B263" t="inlineStr">
        <is>
          <t xml:space="preserve">Video</t>
        </is>
      </c>
      <c r="C263" t="inlineStr">
        <is>
          <t xml:space="preserve">English</t>
        </is>
      </c>
      <c r="D263" t="inlineStr">
        <is>
          <t xml:space="preserve">Tutorial</t>
        </is>
      </c>
      <c r="E263" t="inlineStr">
        <is>
          <t xml:space="preserve">AI/Copilot</t>
        </is>
      </c>
      <c r="F263" t="inlineStr">
        <is>
          <t xml:space="preserve">How To Enable Copilot For Power Automate [Step By Step Guide]</t>
        </is>
      </c>
      <c r="G263" t="inlineStr">
        <is>
          <t xml:space="preserve">Tutorials With Charles</t>
        </is>
      </c>
      <c r="H263" s="3">
        <v>148</v>
      </c>
      <c r="I263" t="inlineStr">
        <is>
          <t xml:space="preserve">1mo ago</t>
        </is>
      </c>
      <c r="J263" t="inlineStr">
        <is>
          <t xml:space="preserve">2:32</t>
        </is>
      </c>
      <c r="K263" s="2" t="str">
        <f>HYPERLINK("https://www.youtube.com/watch?v=kJdXS5PBPvI","https://www.youtube.com/watch?v=kJdXS5PBPvI")</f>
        <v>https://www.youtube.com/watch?v=kJdXS5PBPvI</v>
      </c>
      <c r="L263" t="inlineStr">
        <is>
          <t xml:space="preserve">In today's video we cover How To Enable Copilot For Power Automate [Step By Step Guide] This tutorial will walk you through ...</t>
        </is>
      </c>
      <c r="M263" t="inlineStr">
        <is>
          <t xml:space="preserve">power automate copilot</t>
        </is>
      </c>
    </row>
    <row r="264">
      <c r="A264" s="3">
        <v>263</v>
      </c>
      <c r="B264" t="inlineStr">
        <is>
          <t xml:space="preserve">Video</t>
        </is>
      </c>
      <c r="C264" t="inlineStr">
        <is>
          <t xml:space="preserve">Hindi</t>
        </is>
      </c>
      <c r="D264" t="inlineStr">
        <is>
          <t xml:space="preserve">Course</t>
        </is>
      </c>
      <c r="E264" t="inlineStr">
        <is>
          <t xml:space="preserve">Desktop/RPA</t>
        </is>
      </c>
      <c r="F264" t="inlineStr">
        <is>
          <t xml:space="preserve">Power Automate Desktop for Beginners | Learn Power Automate Desktop in हिंदी</t>
        </is>
      </c>
      <c r="G264" t="inlineStr">
        <is>
          <t xml:space="preserve">KT Sessions</t>
        </is>
      </c>
      <c r="H264" s="3">
        <v>19214</v>
      </c>
      <c r="I264" t="inlineStr">
        <is>
          <t xml:space="preserve">1y ago</t>
        </is>
      </c>
      <c r="J264" t="inlineStr">
        <is>
          <t xml:space="preserve">1:00:02</t>
        </is>
      </c>
      <c r="K264" s="2" t="str">
        <f>HYPERLINK("https://www.youtube.com/watch?v=NwRwyoK1G7w","https://www.youtube.com/watch?v=NwRwyoK1G7w")</f>
        <v>https://www.youtube.com/watch?v=NwRwyoK1G7w</v>
      </c>
      <c r="L264" t="inlineStr">
        <is>
          <t xml:space="preserve">... Desktop for Beginners,power automate,kt sessions,rpa tutorial,power automate desktop,power automate complete course,ui ...</t>
        </is>
      </c>
      <c r="M264" t="inlineStr">
        <is>
          <t xml:space="preserve">power automate desktop full course ; power automate tutorial in hindi ; power automate full course hindi ; power automate desktop hindi ; power automate project hindi ; power automate hindi ; power automate desktop bangla ; power automate in hindi</t>
        </is>
      </c>
    </row>
    <row r="265">
      <c r="A265" s="3">
        <v>264</v>
      </c>
      <c r="B265" t="inlineStr">
        <is>
          <t xml:space="preserve">Video</t>
        </is>
      </c>
      <c r="C265" t="inlineStr">
        <is>
          <t xml:space="preserve">Hindi</t>
        </is>
      </c>
      <c r="D265" t="inlineStr">
        <is>
          <t xml:space="preserve">Course</t>
        </is>
      </c>
      <c r="E265" t="inlineStr">
        <is>
          <t xml:space="preserve"/>
        </is>
      </c>
      <c r="F265" t="inlineStr">
        <is>
          <t xml:space="preserve">What is Power Automate? | Power Automate Tutorial in English</t>
        </is>
      </c>
      <c r="G265" t="inlineStr">
        <is>
          <t xml:space="preserve">KnowHow Academy Hindi</t>
        </is>
      </c>
      <c r="H265" s="3">
        <v>3001</v>
      </c>
      <c r="I265" t="inlineStr">
        <is>
          <t xml:space="preserve">2y ago</t>
        </is>
      </c>
      <c r="J265" t="inlineStr">
        <is>
          <t xml:space="preserve">17:20</t>
        </is>
      </c>
      <c r="K265" s="2" t="str">
        <f>HYPERLINK("https://www.youtube.com/watch?v=MWDdMxZJW0w","https://www.youtube.com/watch?v=MWDdMxZJW0w")</f>
        <v>https://www.youtube.com/watch?v=MWDdMxZJW0w</v>
      </c>
      <c r="L265" t="inlineStr">
        <is>
          <t xml:space="preserve">Welcome to the Power Automate tutorial series in Hindi! In this comprehensive playlist, you will learn everything you need to ...</t>
        </is>
      </c>
      <c r="M265" t="inlineStr">
        <is>
          <t xml:space="preserve">power automate tutorial in hindi ; power automate desktop hindi ; power automate hindi ; power automate in hindi</t>
        </is>
      </c>
    </row>
    <row r="266">
      <c r="A266" s="3">
        <v>265</v>
      </c>
      <c r="B266" t="inlineStr">
        <is>
          <t xml:space="preserve">Playlist</t>
        </is>
      </c>
      <c r="C266" t="inlineStr">
        <is>
          <t xml:space="preserve">Hindi</t>
        </is>
      </c>
      <c r="D266" t="inlineStr">
        <is>
          <t xml:space="preserve">Course</t>
        </is>
      </c>
      <c r="E266" t="inlineStr">
        <is>
          <t xml:space="preserve"/>
        </is>
      </c>
      <c r="F266" t="inlineStr">
        <is>
          <t xml:space="preserve">Power Automate-Hindi</t>
        </is>
      </c>
      <c r="G266" t="inlineStr">
        <is>
          <t xml:space="preserve">Lotusamaze</t>
        </is>
      </c>
      <c r="H266" t="inlineStr">
        <is>
          <t xml:space="preserve"/>
        </is>
      </c>
      <c r="I266" t="inlineStr">
        <is>
          <t xml:space="preserve"/>
        </is>
      </c>
      <c r="J266" t="inlineStr">
        <is>
          <t xml:space="preserve">12 videos</t>
        </is>
      </c>
      <c r="K266" s="2" t="str">
        <f>HYPERLINK("https://www.youtube.com/playlist?list=PLKpO3lQqxJ6YTQJMeeqJHUiJtNk8cGTLg","https://www.youtube.com/playlist?list=PLKpO3lQqxJ6YTQJMeeqJHUiJtNk8cGTLg")</f>
        <v>https://www.youtube.com/playlist?list=PLKpO3lQqxJ6YTQJMeeqJHUiJtNk8cGTLg</v>
      </c>
      <c r="L266" t="inlineStr">
        <is>
          <t xml:space="preserve">Playlist | Microsoft Power Automate - Introduction | Hindi · 6:19 | MS Power Automate | Glossary | Commonly Used Terms | hindi · 5:54 | View full playlist | Power Automate tutorial playlist in hindi covers all topics of power automate with examples and diagram.</t>
        </is>
      </c>
      <c r="M266" t="inlineStr">
        <is>
          <t xml:space="preserve">power automate full course ; power automate desktop full course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267">
      <c r="A267" s="3">
        <v>266</v>
      </c>
      <c r="B267" t="inlineStr">
        <is>
          <t xml:space="preserve">Playlist</t>
        </is>
      </c>
      <c r="C267" t="inlineStr">
        <is>
          <t xml:space="preserve">Hindi</t>
        </is>
      </c>
      <c r="D267" t="inlineStr">
        <is>
          <t xml:space="preserve">Course</t>
        </is>
      </c>
      <c r="E267" t="inlineStr">
        <is>
          <t xml:space="preserve">SharePoint, Excel</t>
        </is>
      </c>
      <c r="F267" t="inlineStr">
        <is>
          <t xml:space="preserve">MS Power Automate Tutorial for Beginners In Hindi</t>
        </is>
      </c>
      <c r="G267" t="inlineStr">
        <is>
          <t xml:space="preserve">Technical Knowledge Beta</t>
        </is>
      </c>
      <c r="H267" t="inlineStr">
        <is>
          <t xml:space="preserve"/>
        </is>
      </c>
      <c r="I267" t="inlineStr">
        <is>
          <t xml:space="preserve"/>
        </is>
      </c>
      <c r="J267" t="inlineStr">
        <is>
          <t xml:space="preserve">25 videos</t>
        </is>
      </c>
      <c r="K267" s="2" t="str">
        <f>HYPERLINK("https://www.youtube.com/playlist?list=PLTfRAJIKuTE3px_eE3huBt4TRQ6Mv8-nS","https://www.youtube.com/playlist?list=PLTfRAJIKuTE3px_eE3huBt4TRQ6Mv8-nS")</f>
        <v>https://www.youtube.com/playlist?list=PLTfRAJIKuTE3px_eE3huBt4TRQ6Mv8-nS</v>
      </c>
      <c r="L267" t="inlineStr">
        <is>
          <t xml:space="preserve">Playlist | MS Power Automate Tutorial for beginners in Hindi | · 11:13 | A MS Flow to automatically update SharePoint List using excel in Hindi · 32:53 | View full playlist</t>
        </is>
      </c>
      <c r="M267" t="inlineStr">
        <is>
          <t xml:space="preserve">power automate full course ; power automate tutorial for beginners ; power automate desktop full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268">
      <c r="A268" s="3">
        <v>267</v>
      </c>
      <c r="B268" t="inlineStr">
        <is>
          <t xml:space="preserve">Playlist</t>
        </is>
      </c>
      <c r="C268" t="inlineStr">
        <is>
          <t xml:space="preserve">Hindi</t>
        </is>
      </c>
      <c r="D268" t="inlineStr">
        <is>
          <t xml:space="preserve">Course</t>
        </is>
      </c>
      <c r="E268" t="inlineStr">
        <is>
          <t xml:space="preserve">Desktop/RPA</t>
        </is>
      </c>
      <c r="F268" t="inlineStr">
        <is>
          <t xml:space="preserve">Power automate desktop in Hindi</t>
        </is>
      </c>
      <c r="G268" t="inlineStr">
        <is>
          <t xml:space="preserve">Automation only</t>
        </is>
      </c>
      <c r="H268" t="inlineStr">
        <is>
          <t xml:space="preserve"/>
        </is>
      </c>
      <c r="I268" t="inlineStr">
        <is>
          <t xml:space="preserve"/>
        </is>
      </c>
      <c r="J268" t="inlineStr">
        <is>
          <t xml:space="preserve">20 videos</t>
        </is>
      </c>
      <c r="K268" s="2" t="str">
        <f>HYPERLINK("https://www.youtube.com/playlist?list=PLxkWQlJUD4AK4HZcptIUWVnzJFq-fobCE","https://www.youtube.com/playlist?list=PLxkWQlJUD4AK4HZcptIUWVnzJFq-fobCE")</f>
        <v>https://www.youtube.com/playlist?list=PLxkWQlJUD4AK4HZcptIUWVnzJFq-fobCE</v>
      </c>
      <c r="L268" t="inlineStr">
        <is>
          <t xml:space="preserve">Playlist | Power Automate Desktop (Hindi):Using Set Variable to create Data Table · 2:27 | Power Automate Desktop: How to use Convert Text to number Action · 11:25 | View full playlist</t>
        </is>
      </c>
      <c r="M268" t="inlineStr">
        <is>
          <t xml:space="preserve">power automate desktop ; power automate tutorial in hindi ; power automate desktop hindi ; power automate project hindi ; power automate hindi ; power automate in hindi</t>
        </is>
      </c>
    </row>
    <row r="269">
      <c r="A269" s="3">
        <v>268</v>
      </c>
      <c r="B269" t="inlineStr">
        <is>
          <t xml:space="preserve">Playlist</t>
        </is>
      </c>
      <c r="C269" t="inlineStr">
        <is>
          <t xml:space="preserve">Hindi</t>
        </is>
      </c>
      <c r="D269" t="inlineStr">
        <is>
          <t xml:space="preserve">Course</t>
        </is>
      </c>
      <c r="E269" t="inlineStr">
        <is>
          <t xml:space="preserve">Email/Outlook, Teams, AI/Copilot, Power Apps, Forms</t>
        </is>
      </c>
      <c r="F269" t="inlineStr">
        <is>
          <t xml:space="preserve">Power Automate Hindi | Power Automate Full Tutorial Hindi</t>
        </is>
      </c>
      <c r="G269" t="inlineStr">
        <is>
          <t xml:space="preserve">KnowHow Academy Hindi</t>
        </is>
      </c>
      <c r="H269" t="inlineStr">
        <is>
          <t xml:space="preserve"/>
        </is>
      </c>
      <c r="I269" t="inlineStr">
        <is>
          <t xml:space="preserve"/>
        </is>
      </c>
      <c r="J269" t="inlineStr">
        <is>
          <t xml:space="preserve">18 videos</t>
        </is>
      </c>
      <c r="K269" s="2" t="str">
        <f>HYPERLINK("https://www.youtube.com/playlist?list=PLqgXpspN6iFGQdFAeVTF5-uCq1oFcACU9","https://www.youtube.com/playlist?list=PLqgXpspN6iFGQdFAeVTF5-uCq1oFcACU9")</f>
        <v>https://www.youtube.com/playlist?list=PLqgXpspN6iFGQdFAeVTF5-uCq1oFcACU9</v>
      </c>
      <c r="L269" t="inlineStr">
        <is>
          <t xml:space="preserve">Playlist | Automate Invoices &amp; Collect Payments INSTANTLY with DocuSign + Power Automate (No-Code) · 10:02 | How to Automate HR Leave Requests in Microsoft Teams | Power Automate + Copilot Studio · 24:23 | View full playlist | Welcome to our Power Automate Hindi playlist, designed to take you from B</t>
        </is>
      </c>
      <c r="M269" t="inlineStr">
        <is>
          <t xml:space="preserve">power automate tutorial in hindi ; power automate full course hindi ; power automate desktop hindi ; power automate project hindi ; power automate hindi ; power automate in hindi</t>
        </is>
      </c>
    </row>
    <row r="270">
      <c r="A270" s="3">
        <v>269</v>
      </c>
      <c r="B270" t="inlineStr">
        <is>
          <t xml:space="preserve">Playlist</t>
        </is>
      </c>
      <c r="C270" t="inlineStr">
        <is>
          <t xml:space="preserve">Hindi</t>
        </is>
      </c>
      <c r="D270" t="inlineStr">
        <is>
          <t xml:space="preserve">Course</t>
        </is>
      </c>
      <c r="E270" t="inlineStr">
        <is>
          <t xml:space="preserve"/>
        </is>
      </c>
      <c r="F270" t="inlineStr">
        <is>
          <t xml:space="preserve">Power Automate (Hindi) - January 2026</t>
        </is>
      </c>
      <c r="G270" t="inlineStr">
        <is>
          <t xml:space="preserve">Rohit Tyagi RKT</t>
        </is>
      </c>
      <c r="H270" t="inlineStr">
        <is>
          <t xml:space="preserve"/>
        </is>
      </c>
      <c r="I270" t="inlineStr">
        <is>
          <t xml:space="preserve"/>
        </is>
      </c>
      <c r="J270" t="inlineStr">
        <is>
          <t xml:space="preserve">16 videos</t>
        </is>
      </c>
      <c r="K270" s="2" t="str">
        <f>HYPERLINK("https://www.youtube.com/playlist?list=PLCNV2ZC6lH1ikqDK1nAfBpnHIzx_1FuHI","https://www.youtube.com/playlist?list=PLCNV2ZC6lH1ikqDK1nAfBpnHIzx_1FuHI")</f>
        <v>https://www.youtube.com/playlist?list=PLCNV2ZC6lH1ikqDK1nAfBpnHIzx_1FuHI</v>
      </c>
      <c r="L270" t="inlineStr">
        <is>
          <t xml:space="preserve">Playlist | Power Automate Basic Full Jan 2026 · 6:15:20 | PAT 14 :- DATA OPERATION &amp; variables · 1:00:36 | View full playlist</t>
        </is>
      </c>
      <c r="M270" t="inlineStr">
        <is>
          <t xml:space="preserve">power automate tutorial in hindi ; power automate full course hindi ; power automate desktop hindi ; power automate project hindi ; power automate hindi ; power automate in hindi</t>
        </is>
      </c>
    </row>
    <row r="271">
      <c r="A271" s="3">
        <v>270</v>
      </c>
      <c r="B271" t="inlineStr">
        <is>
          <t xml:space="preserve">Playlist</t>
        </is>
      </c>
      <c r="C271" t="inlineStr">
        <is>
          <t xml:space="preserve">Hindi</t>
        </is>
      </c>
      <c r="D271" t="inlineStr">
        <is>
          <t xml:space="preserve">Course</t>
        </is>
      </c>
      <c r="E271" t="inlineStr">
        <is>
          <t xml:space="preserve">SharePoint, Excel</t>
        </is>
      </c>
      <c r="F271" t="inlineStr">
        <is>
          <t xml:space="preserve">Power Automate Tutorial For Beginners</t>
        </is>
      </c>
      <c r="G271" t="inlineStr">
        <is>
          <t xml:space="preserve">Technical Smahajan</t>
        </is>
      </c>
      <c r="H271" t="inlineStr">
        <is>
          <t xml:space="preserve"/>
        </is>
      </c>
      <c r="I271" t="inlineStr">
        <is>
          <t xml:space="preserve"/>
        </is>
      </c>
      <c r="J271" t="inlineStr">
        <is>
          <t xml:space="preserve">6 videos</t>
        </is>
      </c>
      <c r="K271" s="2" t="str">
        <f>HYPERLINK("https://www.youtube.com/playlist?list=PLQGxFvzUq0au99Ok_L3tI-33E_V23cTiN","https://www.youtube.com/playlist?list=PLQGxFvzUq0au99Ok_L3tI-33E_V23cTiN")</f>
        <v>https://www.youtube.com/playlist?list=PLQGxFvzUq0au99Ok_L3tI-33E_V23cTiN</v>
      </c>
      <c r="L271" t="inlineStr">
        <is>
          <t xml:space="preserve">Playlist | Power Automate Tutorial For Beginners | In Hindi · 8:24 | How to Import Excel Data to SharePoint List using Power Automate | Hindi · 8:01 | View full playlist | This is power automate series for beginners. In this series we will discus on work flow. How to create work flow step by step.</t>
        </is>
      </c>
      <c r="M271" t="inlineStr">
        <is>
          <t xml:space="preserve">power automate hindi</t>
        </is>
      </c>
    </row>
    <row r="272">
      <c r="A272" s="3">
        <v>271</v>
      </c>
      <c r="B272" t="inlineStr">
        <is>
          <t xml:space="preserve">Video</t>
        </is>
      </c>
      <c r="C272" t="inlineStr">
        <is>
          <t xml:space="preserve">Hindi</t>
        </is>
      </c>
      <c r="D272" t="inlineStr">
        <is>
          <t xml:space="preserve">Project / Use case</t>
        </is>
      </c>
      <c r="E272" t="inlineStr">
        <is>
          <t xml:space="preserve">Excel, Email/Outlook</t>
        </is>
      </c>
      <c r="F272" t="inlineStr">
        <is>
          <t xml:space="preserve">Case Study: Power Automate Tutorial - Filtering Excel Data and Creating Email Loops [Hindi]</t>
        </is>
      </c>
      <c r="G272" t="inlineStr">
        <is>
          <t xml:space="preserve">Learn At Home</t>
        </is>
      </c>
      <c r="H272" s="3">
        <v>6284</v>
      </c>
      <c r="I272" t="inlineStr">
        <is>
          <t xml:space="preserve">2y ago</t>
        </is>
      </c>
      <c r="J272" t="inlineStr">
        <is>
          <t xml:space="preserve">21:39</t>
        </is>
      </c>
      <c r="K272" s="2" t="str">
        <f>HYPERLINK("https://www.youtube.com/watch?v=evwEdyv5vXM","https://www.youtube.com/watch?v=evwEdyv5vXM")</f>
        <v>https://www.youtube.com/watch?v=evwEdyv5vXM</v>
      </c>
      <c r="L272" t="inlineStr">
        <is>
          <t xml:space="preserve">Need Personal Help with Power BI, DAX, SQL, Power Automate or Microsoft Fabric? Stuck on a problem? Preparing for an ...</t>
        </is>
      </c>
      <c r="M272" t="inlineStr">
        <is>
          <t xml:space="preserve">power automate in hindi</t>
        </is>
      </c>
    </row>
    <row r="273">
      <c r="A273" s="3">
        <v>272</v>
      </c>
      <c r="B273" t="inlineStr">
        <is>
          <t xml:space="preserve">Video</t>
        </is>
      </c>
      <c r="C273" t="inlineStr">
        <is>
          <t xml:space="preserve">Hindi</t>
        </is>
      </c>
      <c r="D273" t="inlineStr">
        <is>
          <t xml:space="preserve">Project / Use case</t>
        </is>
      </c>
      <c r="E273" t="inlineStr">
        <is>
          <t xml:space="preserve"/>
        </is>
      </c>
      <c r="F273" t="inlineStr">
        <is>
          <t xml:space="preserve">Create a Real-Time Dashboard Using SQL Server, Power BI &amp; Power Automate (Hindi)</t>
        </is>
      </c>
      <c r="G273" t="inlineStr">
        <is>
          <t xml:space="preserve">KnowHow Academy Hindi</t>
        </is>
      </c>
      <c r="H273" s="3">
        <v>3949</v>
      </c>
      <c r="I273" t="inlineStr">
        <is>
          <t xml:space="preserve">1y ago</t>
        </is>
      </c>
      <c r="J273" t="inlineStr">
        <is>
          <t xml:space="preserve">22:20</t>
        </is>
      </c>
      <c r="K273" s="2" t="str">
        <f>HYPERLINK("https://www.youtube.com/watch?v=CivCsdavPlA","https://www.youtube.com/watch?v=CivCsdavPlA")</f>
        <v>https://www.youtube.com/watch?v=CivCsdavPlA</v>
      </c>
      <c r="L273" t="inlineStr">
        <is>
          <t xml:space="preserve">In this video of SQL, you will learn how to build a real-time executive dashboard using SQL Server, Power BI, and Power ...</t>
        </is>
      </c>
      <c r="M273" t="inlineStr">
        <is>
          <t xml:space="preserve">power automate project hindi</t>
        </is>
      </c>
    </row>
    <row r="274">
      <c r="A274" s="3">
        <v>273</v>
      </c>
      <c r="B274" t="inlineStr">
        <is>
          <t xml:space="preserve">Playlist</t>
        </is>
      </c>
      <c r="C274" t="inlineStr">
        <is>
          <t xml:space="preserve">Hindi</t>
        </is>
      </c>
      <c r="D274" t="inlineStr">
        <is>
          <t xml:space="preserve">Project / Use case</t>
        </is>
      </c>
      <c r="E274" t="inlineStr">
        <is>
          <t xml:space="preserve">AI/Copilot</t>
        </is>
      </c>
      <c r="F274" t="inlineStr">
        <is>
          <t xml:space="preserve">Learn Full Course on Make.com Ai Automation in Hindi &amp; Urdu for free | 2025</t>
        </is>
      </c>
      <c r="G274" t="inlineStr">
        <is>
          <t xml:space="preserve">Musharaf Khan</t>
        </is>
      </c>
      <c r="H274" t="inlineStr">
        <is>
          <t xml:space="preserve"/>
        </is>
      </c>
      <c r="I274" t="inlineStr">
        <is>
          <t xml:space="preserve"/>
        </is>
      </c>
      <c r="J274" t="inlineStr">
        <is>
          <t xml:space="preserve">9 videos</t>
        </is>
      </c>
      <c r="K274" s="2" t="str">
        <f>HYPERLINK("https://www.youtube.com/playlist?list=PLEnL96TUuJ_T7DFYx7bYlfWKDXRzDlvuo","https://www.youtube.com/playlist?list=PLEnL96TUuJ_T7DFYx7bYlfWKDXRzDlvuo")</f>
        <v>https://www.youtube.com/playlist?list=PLEnL96TUuJ_T7DFYx7bYlfWKDXRzDlvuo</v>
      </c>
      <c r="L274" t="inlineStr">
        <is>
          <t xml:space="preserve">Playlist | Make.com Masterclass | Learn Make.com Ai Automation | Full Course in Hindi &amp; Urdu | Chapter 1 · 25:30 | Make.com Masterclass | Learn Make.com Ai Automation | Full Course in Hindi &amp; Urdu | Chapter 2 · 13:06 | View full playlist | Welcome to the full comprehensive course for Make.com Ai Aut</t>
        </is>
      </c>
      <c r="M274" t="inlineStr">
        <is>
          <t xml:space="preserve">power automate full course hindi</t>
        </is>
      </c>
    </row>
    <row r="275">
      <c r="A275" s="3">
        <v>274</v>
      </c>
      <c r="B275" t="inlineStr">
        <is>
          <t xml:space="preserve">Video</t>
        </is>
      </c>
      <c r="C275" t="inlineStr">
        <is>
          <t xml:space="preserve">Hindi</t>
        </is>
      </c>
      <c r="D275" t="inlineStr">
        <is>
          <t xml:space="preserve">Tutorial</t>
        </is>
      </c>
      <c r="E275" t="inlineStr">
        <is>
          <t xml:space="preserve"/>
        </is>
      </c>
      <c r="F275" t="inlineStr">
        <is>
          <t xml:space="preserve">इसका पावर 💪आप नहीं जानते | Power automate tutorial in Hindi</t>
        </is>
      </c>
      <c r="G275" t="inlineStr">
        <is>
          <t xml:space="preserve">Learn More</t>
        </is>
      </c>
      <c r="H275" s="3">
        <v>137173</v>
      </c>
      <c r="I275" t="inlineStr">
        <is>
          <t xml:space="preserve">4y ago</t>
        </is>
      </c>
      <c r="J275" t="inlineStr">
        <is>
          <t xml:space="preserve">38:57</t>
        </is>
      </c>
      <c r="K275" s="2" t="str">
        <f>HYPERLINK("https://www.youtube.com/watch?v=AshLO-Bs3JA","https://www.youtube.com/watch?v=AshLO-Bs3JA")</f>
        <v>https://www.youtube.com/watch?v=AshLO-Bs3JA</v>
      </c>
      <c r="L275" t="inlineStr">
        <is>
          <t xml:space="preserve">इसका पावर आप नहीं जानते | Power automate tutorial in Hindi Aaj ke is video mai ek #microsoft ke powerful ...</t>
        </is>
      </c>
      <c r="M275" t="inlineStr">
        <is>
          <t xml:space="preserve">power automate tutorial in hindi ; power automate full course hindi ; power automate desktop hindi ; power automate project hindi ; power automate hindi ; power automate desktop bangla ; পাওয়ার অটোমেট ; power automate in hindi</t>
        </is>
      </c>
    </row>
    <row r="276">
      <c r="A276" s="3">
        <v>275</v>
      </c>
      <c r="B276" t="inlineStr">
        <is>
          <t xml:space="preserve">Video</t>
        </is>
      </c>
      <c r="C276" t="inlineStr">
        <is>
          <t xml:space="preserve">Hindi</t>
        </is>
      </c>
      <c r="D276" t="inlineStr">
        <is>
          <t xml:space="preserve">Tutorial</t>
        </is>
      </c>
      <c r="E276" t="inlineStr">
        <is>
          <t xml:space="preserve"/>
        </is>
      </c>
      <c r="F276" t="inlineStr">
        <is>
          <t xml:space="preserve">शुरुआती लोगों के लिए MS Power Automate ट्यूटोरियल हिंदी में |</t>
        </is>
      </c>
      <c r="G276" t="inlineStr">
        <is>
          <t xml:space="preserve">Technical Knowledge Beta</t>
        </is>
      </c>
      <c r="H276" s="3">
        <v>55936</v>
      </c>
      <c r="I276" t="inlineStr">
        <is>
          <t xml:space="preserve">5y ago</t>
        </is>
      </c>
      <c r="J276" t="inlineStr">
        <is>
          <t xml:space="preserve">11:13</t>
        </is>
      </c>
      <c r="K276" s="2" t="str">
        <f>HYPERLINK("https://www.youtube.com/watch?v=uCG5LyNB4Hw","https://www.youtube.com/watch?v=uCG5LyNB4Hw")</f>
        <v>https://www.youtube.com/watch?v=uCG5LyNB4Hw</v>
      </c>
      <c r="L276" t="inlineStr">
        <is>
          <t xml:space="preserve">Power Automate की हिंदी सीरीज़ का लिंक https://youtube.com/playlist?list=PLTfRAJIKuTE3px_eE3huBt4TRQ6Mv8-nS ...</t>
        </is>
      </c>
      <c r="M276" t="inlineStr">
        <is>
          <t xml:space="preserve">power automate tutorial in hindi</t>
        </is>
      </c>
    </row>
    <row r="277">
      <c r="A277" s="3">
        <v>276</v>
      </c>
      <c r="B277" t="inlineStr">
        <is>
          <t xml:space="preserve">Video</t>
        </is>
      </c>
      <c r="C277" t="inlineStr">
        <is>
          <t xml:space="preserve">Hindi</t>
        </is>
      </c>
      <c r="D277" t="inlineStr">
        <is>
          <t xml:space="preserve">Tutorial</t>
        </is>
      </c>
      <c r="E277" t="inlineStr">
        <is>
          <t xml:space="preserve">Excel, Email/Outlook</t>
        </is>
      </c>
      <c r="F277" t="inlineStr">
        <is>
          <t xml:space="preserve">Microsoft Power Automate शुरुआती लोगों के लिए हिंदी में | Power Automate ट्यूटोरियल | Mail to Excel</t>
        </is>
      </c>
      <c r="G277" t="inlineStr">
        <is>
          <t xml:space="preserve">Learn At Home</t>
        </is>
      </c>
      <c r="H277" s="3">
        <v>17725</v>
      </c>
      <c r="I277" t="inlineStr">
        <is>
          <t xml:space="preserve">4y ago</t>
        </is>
      </c>
      <c r="J277" t="inlineStr">
        <is>
          <t xml:space="preserve">17:05</t>
        </is>
      </c>
      <c r="K277" s="2" t="str">
        <f>HYPERLINK("https://www.youtube.com/watch?v=QL-sC_EyFW8","https://www.youtube.com/watch?v=QL-sC_EyFW8")</f>
        <v>https://www.youtube.com/watch?v=QL-sC_EyFW8</v>
      </c>
      <c r="L277" t="inlineStr">
        <is>
          <t xml:space="preserve">नौकरी संबंधी सहायता चाहिए? यहां क्लिक करें - https://topmate.io/learnathome इस पावर ऑटोमेट हिंदी श्रृंखला में ...</t>
        </is>
      </c>
      <c r="M277" t="inlineStr">
        <is>
          <t xml:space="preserve">power automate tutorial in hindi ; power automate full course hindi ; power automate desktop hindi ; power automate hindi</t>
        </is>
      </c>
    </row>
    <row r="278">
      <c r="A278" s="3">
        <v>277</v>
      </c>
      <c r="B278" t="inlineStr">
        <is>
          <t xml:space="preserve">Video</t>
        </is>
      </c>
      <c r="C278" t="inlineStr">
        <is>
          <t xml:space="preserve">Hindi</t>
        </is>
      </c>
      <c r="D278" t="inlineStr">
        <is>
          <t xml:space="preserve">Tutorial</t>
        </is>
      </c>
      <c r="E278" t="inlineStr">
        <is>
          <t xml:space="preserve">Excel</t>
        </is>
      </c>
      <c r="F278" t="inlineStr">
        <is>
          <t xml:space="preserve">Mastering Excel Power Query Refresh: Automate with VBA and Power Automate! [Hindi]</t>
        </is>
      </c>
      <c r="G278" t="inlineStr">
        <is>
          <t xml:space="preserve">Learn At Home</t>
        </is>
      </c>
      <c r="H278" s="3">
        <v>12056</v>
      </c>
      <c r="I278" t="inlineStr">
        <is>
          <t xml:space="preserve">3y ago</t>
        </is>
      </c>
      <c r="J278" t="inlineStr">
        <is>
          <t xml:space="preserve">8:30</t>
        </is>
      </c>
      <c r="K278" s="2" t="str">
        <f>HYPERLINK("https://www.youtube.com/watch?v=0rv8wP-rNo8","https://www.youtube.com/watch?v=0rv8wP-rNo8")</f>
        <v>https://www.youtube.com/watch?v=0rv8wP-rNo8</v>
      </c>
      <c r="L278" t="inlineStr">
        <is>
          <t xml:space="preserve">Need Personal Help with Power BI, DAX, SQL, Power Automate or Microsoft Fabric? Stuck on a problem? Preparing for an ...</t>
        </is>
      </c>
      <c r="M278" t="inlineStr">
        <is>
          <t xml:space="preserve">power automate hindi ; power automate in hindi</t>
        </is>
      </c>
    </row>
    <row r="279">
      <c r="A279" s="3">
        <v>278</v>
      </c>
      <c r="B279" t="inlineStr">
        <is>
          <t xml:space="preserve">Video</t>
        </is>
      </c>
      <c r="C279" t="inlineStr">
        <is>
          <t xml:space="preserve">Hindi</t>
        </is>
      </c>
      <c r="D279" t="inlineStr">
        <is>
          <t xml:space="preserve">Tutorial</t>
        </is>
      </c>
      <c r="E279" t="inlineStr">
        <is>
          <t xml:space="preserve"/>
        </is>
      </c>
      <c r="F279" t="inlineStr">
        <is>
          <t xml:space="preserve">Microsoft Power Automate हिंदी में सीखें || शुरुआती लोगों के लिए पूरा कोर्स</t>
        </is>
      </c>
      <c r="G279" t="inlineStr">
        <is>
          <t xml:space="preserve">KT Sessions</t>
        </is>
      </c>
      <c r="H279" s="3">
        <v>10142</v>
      </c>
      <c r="I279" t="inlineStr">
        <is>
          <t xml:space="preserve">1y ago</t>
        </is>
      </c>
      <c r="J279" t="inlineStr">
        <is>
          <t xml:space="preserve">47:56</t>
        </is>
      </c>
      <c r="K279" s="2" t="str">
        <f>HYPERLINK("https://www.youtube.com/watch?v=2TKi2t1N_jE","https://www.youtube.com/watch?v=2TKi2t1N_jE")</f>
        <v>https://www.youtube.com/watch?v=2TKi2t1N_jE</v>
      </c>
      <c r="L279" t="inlineStr">
        <is>
          <t xml:space="preserve">क्या वीडियो में आप सीखेंगे माइक्रोसॉफ्ट पावर ऑटोमेट का उपयोग कैसे करें - वो भी सरल हिंदी + अंग्रेजी में। ये ...</t>
        </is>
      </c>
      <c r="M279" t="inlineStr">
        <is>
          <t xml:space="preserve">power automate tutorial in hindi ; power automate full course hindi ; power automate desktop hindi ; power automate hindi ; power automate in hindi</t>
        </is>
      </c>
    </row>
    <row r="280">
      <c r="A280" s="3">
        <v>279</v>
      </c>
      <c r="B280" t="inlineStr">
        <is>
          <t xml:space="preserve">Video</t>
        </is>
      </c>
      <c r="C280" t="inlineStr">
        <is>
          <t xml:space="preserve">Hindi</t>
        </is>
      </c>
      <c r="D280" t="inlineStr">
        <is>
          <t xml:space="preserve">Tutorial</t>
        </is>
      </c>
      <c r="E280" t="inlineStr">
        <is>
          <t xml:space="preserve"/>
        </is>
      </c>
      <c r="F280" t="inlineStr">
        <is>
          <t xml:space="preserve">Power Automate Tutorial | Microsoft Power Automate for Beginners in Hindi | Ms Flow</t>
        </is>
      </c>
      <c r="G280" t="inlineStr">
        <is>
          <t xml:space="preserve">Learn At Home</t>
        </is>
      </c>
      <c r="H280" s="3">
        <v>5302</v>
      </c>
      <c r="I280" t="inlineStr">
        <is>
          <t xml:space="preserve">4y ago</t>
        </is>
      </c>
      <c r="J280" t="inlineStr">
        <is>
          <t xml:space="preserve">20:29</t>
        </is>
      </c>
      <c r="K280" s="2" t="str">
        <f>HYPERLINK("https://www.youtube.com/watch?v=DLwB-VOIwb0","https://www.youtube.com/watch?v=DLwB-VOIwb0")</f>
        <v>https://www.youtube.com/watch?v=DLwB-VOIwb0</v>
      </c>
      <c r="L280" t="inlineStr">
        <is>
          <t xml:space="preserve">🚀 Need Personal Help with Power BI, DAX, SQL, Power Automate or Microsoft Fabric? Stuck on a problem? Preparing for an ...</t>
        </is>
      </c>
      <c r="M280" t="inlineStr">
        <is>
          <t xml:space="preserve">power automate tutorial in hindi ; power automate full course hindi ; power automate in hindi</t>
        </is>
      </c>
    </row>
    <row r="281">
      <c r="A281" s="3">
        <v>280</v>
      </c>
      <c r="B281" t="inlineStr">
        <is>
          <t xml:space="preserve">Video</t>
        </is>
      </c>
      <c r="C281" t="inlineStr">
        <is>
          <t xml:space="preserve">Hindi</t>
        </is>
      </c>
      <c r="D281" t="inlineStr">
        <is>
          <t xml:space="preserve">Tutorial</t>
        </is>
      </c>
      <c r="E281" t="inlineStr">
        <is>
          <t xml:space="preserve">Desktop/RPA</t>
        </is>
      </c>
      <c r="F281" t="inlineStr">
        <is>
          <t xml:space="preserve">How to use Microsoft Power Automate Desktop - Full tutorial in Hindi</t>
        </is>
      </c>
      <c r="G281" t="inlineStr">
        <is>
          <t xml:space="preserve">Learn At Home</t>
        </is>
      </c>
      <c r="H281" s="3">
        <v>2699</v>
      </c>
      <c r="I281" t="inlineStr">
        <is>
          <t xml:space="preserve">4y ago</t>
        </is>
      </c>
      <c r="J281" t="inlineStr">
        <is>
          <t xml:space="preserve">10:33</t>
        </is>
      </c>
      <c r="K281" s="2" t="str">
        <f>HYPERLINK("https://www.youtube.com/watch?v=ORAw_w9CQXU","https://www.youtube.com/watch?v=ORAw_w9CQXU")</f>
        <v>https://www.youtube.com/watch?v=ORAw_w9CQXU</v>
      </c>
      <c r="L281" t="inlineStr">
        <is>
          <t xml:space="preserve">Need Personal Help with Power BI, DAX, SQL, Power Automate or Microsoft Fabric? Stuck on a problem? Preparing for an ...</t>
        </is>
      </c>
      <c r="M281" t="inlineStr">
        <is>
          <t xml:space="preserve">power automate desktop hindi ; power automate hindi ; power automate desktop bangla</t>
        </is>
      </c>
    </row>
    <row r="282">
      <c r="A282" s="3">
        <v>281</v>
      </c>
      <c r="B282" t="inlineStr">
        <is>
          <t xml:space="preserve">Video</t>
        </is>
      </c>
      <c r="C282" t="inlineStr">
        <is>
          <t xml:space="preserve">Hindi</t>
        </is>
      </c>
      <c r="D282" t="inlineStr">
        <is>
          <t xml:space="preserve">Tutorial</t>
        </is>
      </c>
      <c r="E282" t="inlineStr">
        <is>
          <t xml:space="preserve"/>
        </is>
      </c>
      <c r="F282" t="inlineStr">
        <is>
          <t xml:space="preserve">पॉवर ऑटोमेट का परिचय और डायनेमिक्स 365 में इसकी भूमिका - जय पटेल द्वारा</t>
        </is>
      </c>
      <c r="G282" t="inlineStr">
        <is>
          <t xml:space="preserve">JV UNIVERSE</t>
        </is>
      </c>
      <c r="H282" s="3">
        <v>2449</v>
      </c>
      <c r="I282" t="inlineStr">
        <is>
          <t xml:space="preserve">9mo ago</t>
        </is>
      </c>
      <c r="J282" t="inlineStr">
        <is>
          <t xml:space="preserve">16:49</t>
        </is>
      </c>
      <c r="K282" s="2" t="str">
        <f>HYPERLINK("https://www.youtube.com/watch?v=wli9mOjkzQM","https://www.youtube.com/watch?v=wli9mOjkzQM")</f>
        <v>https://www.youtube.com/watch?v=wli9mOjkzQM</v>
      </c>
      <c r="L282" t="inlineStr">
        <is>
          <t xml:space="preserve">Dynamics 365 CRM के साथ काम करने वाले किसी भी व्यक्ति के लिए Power Automate एक आवश्यक कौशल बन गया है। Dynamics 365 ...</t>
        </is>
      </c>
      <c r="M282" t="inlineStr">
        <is>
          <t xml:space="preserve">power automate in hindi</t>
        </is>
      </c>
    </row>
    <row r="283">
      <c r="A283" s="3">
        <v>282</v>
      </c>
      <c r="B283" t="inlineStr">
        <is>
          <t xml:space="preserve">Video</t>
        </is>
      </c>
      <c r="C283" t="inlineStr">
        <is>
          <t xml:space="preserve">Hindi</t>
        </is>
      </c>
      <c r="D283" t="inlineStr">
        <is>
          <t xml:space="preserve">Tutorial</t>
        </is>
      </c>
      <c r="E283" t="inlineStr">
        <is>
          <t xml:space="preserve">Excel</t>
        </is>
      </c>
      <c r="F283" t="inlineStr">
        <is>
          <t xml:space="preserve">Effortlessly Manage Excel Data Using Power Automate [Hindi] - Add, Update, and Delete Rows Tutorial</t>
        </is>
      </c>
      <c r="G283" t="inlineStr">
        <is>
          <t xml:space="preserve">Learn At Home</t>
        </is>
      </c>
      <c r="H283" s="3">
        <v>1262</v>
      </c>
      <c r="I283" t="inlineStr">
        <is>
          <t xml:space="preserve">2y ago</t>
        </is>
      </c>
      <c r="J283" t="inlineStr">
        <is>
          <t xml:space="preserve">16:49</t>
        </is>
      </c>
      <c r="K283" s="2" t="str">
        <f>HYPERLINK("https://www.youtube.com/watch?v=lspAOI_NbCk","https://www.youtube.com/watch?v=lspAOI_NbCk")</f>
        <v>https://www.youtube.com/watch?v=lspAOI_NbCk</v>
      </c>
      <c r="L283" t="inlineStr">
        <is>
          <t xml:space="preserve">Need Personal Help with Power BI, DAX, SQL, Power Automate or Microsoft Fabric? Stuck on a problem? Preparing for an ...</t>
        </is>
      </c>
      <c r="M283" t="inlineStr">
        <is>
          <t xml:space="preserve">power automate in hindi</t>
        </is>
      </c>
    </row>
  </sheetData>
  <autoFilter ref="A1:M28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5" customWidth="1"/>
    <col min="2" max="2" width="9" customWidth="1"/>
    <col min="3" max="3" width="10" customWidth="1"/>
    <col min="4" max="4" width="18" customWidth="1"/>
    <col min="5" max="5" width="24" customWidth="1"/>
    <col min="6" max="6" width="60" customWidth="1"/>
    <col min="7" max="7" width="26" customWidth="1"/>
    <col min="8" max="8" width="12" customWidth="1"/>
    <col min="9" max="9" width="16" customWidth="1"/>
    <col min="10" max="10" width="14" customWidth="1"/>
    <col min="11" max="11" width="48" customWidth="1"/>
    <col min="12" max="12" width="70" customWidth="1"/>
    <col min="13" max="13" width="40" customWidth="1"/>
  </cols>
  <sheetData>
    <row r="1">
      <c r="A1" s="1" t="inlineStr">
        <is>
          <t>#</t>
        </is>
      </c>
      <c r="B1" s="1" t="inlineStr">
        <is>
          <t>Type</t>
        </is>
      </c>
      <c r="C1" s="1" t="inlineStr">
        <is>
          <t>Language</t>
        </is>
      </c>
      <c r="D1" s="1" t="inlineStr">
        <is>
          <t>Category</t>
        </is>
      </c>
      <c r="E1" s="1" t="inlineStr">
        <is>
          <t>Topic Areas</t>
        </is>
      </c>
      <c r="F1" s="1" t="inlineStr">
        <is>
          <t>Title</t>
        </is>
      </c>
      <c r="G1" s="1" t="inlineStr">
        <is>
          <t>Channel</t>
        </is>
      </c>
      <c r="H1" s="1" t="inlineStr">
        <is>
          <t>Views</t>
        </is>
      </c>
      <c r="I1" s="1" t="inlineStr">
        <is>
          <t>Published</t>
        </is>
      </c>
      <c r="J1" s="1" t="inlineStr">
        <is>
          <t>Duration / Videos</t>
        </is>
      </c>
      <c r="K1" s="1" t="inlineStr">
        <is>
          <t>Link</t>
        </is>
      </c>
      <c r="L1" s="1" t="inlineStr">
        <is>
          <t>Description (snippet)</t>
        </is>
      </c>
      <c r="M1" s="1" t="inlineStr">
        <is>
          <t>Found via search</t>
        </is>
      </c>
    </row>
    <row r="2">
      <c r="A2" s="3">
        <v>1</v>
      </c>
      <c r="B2" t="inlineStr">
        <is>
          <t xml:space="preserve">Video</t>
        </is>
      </c>
      <c r="C2" t="inlineStr">
        <is>
          <t xml:space="preserve">English</t>
        </is>
      </c>
      <c r="D2" t="inlineStr">
        <is>
          <t xml:space="preserve">Course</t>
        </is>
      </c>
      <c r="E2" t="inlineStr">
        <is>
          <t xml:space="preserve">Desktop/RPA, Web automation</t>
        </is>
      </c>
      <c r="F2" t="inlineStr">
        <is>
          <t xml:space="preserve">Web Scraping Made EASY With Power Automate Desktop - For FREE &amp; ZERO Coding</t>
        </is>
      </c>
      <c r="G2" t="inlineStr">
        <is>
          <t xml:space="preserve">Leila Gharani</t>
        </is>
      </c>
      <c r="H2" s="3">
        <v>1513782</v>
      </c>
      <c r="I2" t="inlineStr">
        <is>
          <t xml:space="preserve">4y ago</t>
        </is>
      </c>
      <c r="J2" t="inlineStr">
        <is>
          <t xml:space="preserve">13:11</t>
        </is>
      </c>
      <c r="K2" s="2" t="str">
        <f>HYPERLINK("https://www.youtube.com/watch?v=DgBZiBIgh3w","https://www.youtube.com/watch?v=DgBZiBIgh3w")</f>
        <v>https://www.youtube.com/watch?v=DgBZiBIgh3w</v>
      </c>
      <c r="L2" t="inlineStr">
        <is>
          <t xml:space="preserve">400000+ professionals trust our courses—start your journey here https://link.xelplus.com/yt-d-all-courses Unlock the potential of ...</t>
        </is>
      </c>
      <c r="M2" t="inlineStr">
        <is>
          <t xml:space="preserve">power automate desktop project</t>
        </is>
      </c>
    </row>
    <row r="3">
      <c r="A3" s="3">
        <v>2</v>
      </c>
      <c r="B3" t="inlineStr">
        <is>
          <t xml:space="preserve">Video</t>
        </is>
      </c>
      <c r="C3" t="inlineStr">
        <is>
          <t xml:space="preserve">English</t>
        </is>
      </c>
      <c r="D3" t="inlineStr">
        <is>
          <t xml:space="preserve">Course</t>
        </is>
      </c>
      <c r="E3" t="inlineStr">
        <is>
          <t xml:space="preserve"/>
        </is>
      </c>
      <c r="F3" t="inlineStr">
        <is>
          <t xml:space="preserve">Power Automate Beginner to Pro Tutorial [Full Course]</t>
        </is>
      </c>
      <c r="G3" t="inlineStr">
        <is>
          <t xml:space="preserve">Pragmatic Works</t>
        </is>
      </c>
      <c r="H3" s="3">
        <v>1224908</v>
      </c>
      <c r="I3" t="inlineStr">
        <is>
          <t xml:space="preserve">Streamed 4y ago</t>
        </is>
      </c>
      <c r="J3" t="inlineStr">
        <is>
          <t xml:space="preserve">2:51:54</t>
        </is>
      </c>
      <c r="K3" s="2" t="str">
        <f>HYPERLINK("https://www.youtube.com/watch?v=1p5kI7SYz4Q","https://www.youtube.com/watch?v=1p5kI7SYz4Q")</f>
        <v>https://www.youtube.com/watch?v=1p5kI7SYz4Q</v>
      </c>
      <c r="L3" t="inlineStr">
        <is>
          <t xml:space="preserve">UPDATED 2024 VERSION AVAILABLE HERE: https://youtube.com/live/KsgxDz-nY_I Power Automate is an automation tool ...</t>
        </is>
      </c>
      <c r="M3" t="inlineStr">
        <is>
          <t xml:space="preserve">power automate full course ; power automate tutorial for beginners ; power automate course</t>
        </is>
      </c>
    </row>
    <row r="4">
      <c r="A4" s="3">
        <v>3</v>
      </c>
      <c r="B4" t="inlineStr">
        <is>
          <t xml:space="preserve">Video</t>
        </is>
      </c>
      <c r="C4" t="inlineStr">
        <is>
          <t xml:space="preserve">English</t>
        </is>
      </c>
      <c r="D4" t="inlineStr">
        <is>
          <t xml:space="preserve">Course</t>
        </is>
      </c>
      <c r="E4" t="inlineStr">
        <is>
          <t xml:space="preserve">Email/Outlook, PDF</t>
        </is>
      </c>
      <c r="F4" t="inlineStr">
        <is>
          <t xml:space="preserve">Learn to Use Power Automate with Examples | Create Bulk PDF Files | Planner to Outlook</t>
        </is>
      </c>
      <c r="G4" t="inlineStr">
        <is>
          <t xml:space="preserve">Leila Gharani</t>
        </is>
      </c>
      <c r="H4" s="3">
        <v>1040284</v>
      </c>
      <c r="I4" t="inlineStr">
        <is>
          <t xml:space="preserve">5y ago</t>
        </is>
      </c>
      <c r="J4" t="inlineStr">
        <is>
          <t xml:space="preserve">14:59</t>
        </is>
      </c>
      <c r="K4" s="2" t="str">
        <f>HYPERLINK("https://www.youtube.com/watch?v=SUsik0FGzI0","https://www.youtube.com/watch?v=SUsik0FGzI0")</f>
        <v>https://www.youtube.com/watch?v=SUsik0FGzI0</v>
      </c>
      <c r="L4" t="inlineStr">
        <is>
          <t xml:space="preserve">400000+ professionals trust our courses—start your journey here https://link.xelplus.com/yt-d-all-courses Dive into the world of ...</t>
        </is>
      </c>
      <c r="M4" t="inlineStr">
        <is>
          <t xml:space="preserve">power automate tutorial for beginners ; পাওয়ার অটোমেট</t>
        </is>
      </c>
    </row>
    <row r="5">
      <c r="A5" s="3">
        <v>4</v>
      </c>
      <c r="B5" t="inlineStr">
        <is>
          <t xml:space="preserve">Video</t>
        </is>
      </c>
      <c r="C5" t="inlineStr">
        <is>
          <t xml:space="preserve">English</t>
        </is>
      </c>
      <c r="D5" t="inlineStr">
        <is>
          <t xml:space="preserve">Course</t>
        </is>
      </c>
      <c r="E5" t="inlineStr">
        <is>
          <t xml:space="preserve"/>
        </is>
      </c>
      <c r="F5" t="inlineStr">
        <is>
          <t xml:space="preserve">Power Automate Tutorial ⚡ Beginner To Pro [Full Course]</t>
        </is>
      </c>
      <c r="G5" t="inlineStr">
        <is>
          <t xml:space="preserve">Pragmatic Works</t>
        </is>
      </c>
      <c r="H5" s="3">
        <v>770049</v>
      </c>
      <c r="I5" t="inlineStr">
        <is>
          <t xml:space="preserve">Streamed 2y ago</t>
        </is>
      </c>
      <c r="J5" t="inlineStr">
        <is>
          <t xml:space="preserve">2:34:42</t>
        </is>
      </c>
      <c r="K5" s="2" t="str">
        <f>HYPERLINK("https://www.youtube.com/watch?v=KsgxDz-nY_I","https://www.youtube.com/watch?v=KsgxDz-nY_I")</f>
        <v>https://www.youtube.com/watch?v=KsgxDz-nY_I</v>
      </c>
      <c r="L5" t="inlineStr">
        <is>
          <t xml:space="preserve">Download your certificate of completion after you finish this course: ...</t>
        </is>
      </c>
      <c r="M5" t="inlineStr">
        <is>
          <t xml:space="preserve">power automate full course ; power automate tutorial for beginners ; power automate project ; power automate desktop full course ; power automate cloud flow tutorial ; power automate sharepoint automation ; PL-500 power automate RPA developer ; power automate advanced tutorial ; power automate course ; power automate tutorial playlist ; power automate full course hindi ; পাওয়ার অটোমেট</t>
        </is>
      </c>
    </row>
    <row r="6">
      <c r="A6" s="3">
        <v>5</v>
      </c>
      <c r="B6" t="inlineStr">
        <is>
          <t xml:space="preserve">Video</t>
        </is>
      </c>
      <c r="C6" t="inlineStr">
        <is>
          <t xml:space="preserve">English</t>
        </is>
      </c>
      <c r="D6" t="inlineStr">
        <is>
          <t xml:space="preserve">Course</t>
        </is>
      </c>
      <c r="E6" t="inlineStr">
        <is>
          <t xml:space="preserve"/>
        </is>
      </c>
      <c r="F6" t="inlineStr">
        <is>
          <t xml:space="preserve">Microsoft Power Platform Fundamentals (PL-900) — Full Course Pass the Exam!</t>
        </is>
      </c>
      <c r="G6" t="inlineStr">
        <is>
          <t xml:space="preserve">freeCodeCamp.org</t>
        </is>
      </c>
      <c r="H6" s="3">
        <v>658244</v>
      </c>
      <c r="I6" t="inlineStr">
        <is>
          <t xml:space="preserve">3y ago</t>
        </is>
      </c>
      <c r="J6" t="inlineStr">
        <is>
          <t xml:space="preserve">3:26:00</t>
        </is>
      </c>
      <c r="K6" s="2" t="str">
        <f>HYPERLINK("https://www.youtube.com/watch?v=ZTPcRWK0ytE","https://www.youtube.com/watch?v=ZTPcRWK0ytE")</f>
        <v>https://www.youtube.com/watch?v=ZTPcRWK0ytE</v>
      </c>
      <c r="L6" t="inlineStr">
        <is>
          <t xml:space="preserve">Prepare for the Microsoft Power Platform Fundamentals Certification (PL-900) and pass! Candidates for this exam aspire to ...</t>
        </is>
      </c>
      <c r="M6" t="inlineStr">
        <is>
          <t xml:space="preserve">PL-900 power platform</t>
        </is>
      </c>
    </row>
    <row r="7">
      <c r="A7" s="3">
        <v>6</v>
      </c>
      <c r="B7" t="inlineStr">
        <is>
          <t xml:space="preserve">Video</t>
        </is>
      </c>
      <c r="C7" t="inlineStr">
        <is>
          <t xml:space="preserve">English</t>
        </is>
      </c>
      <c r="D7" t="inlineStr">
        <is>
          <t xml:space="preserve">Course</t>
        </is>
      </c>
      <c r="E7" t="inlineStr">
        <is>
          <t xml:space="preserve">Excel</t>
        </is>
      </c>
      <c r="F7" t="inlineStr">
        <is>
          <t xml:space="preserve">How to use Office Scripts and Power Automate to do Boring Excel Tasks for You</t>
        </is>
      </c>
      <c r="G7" t="inlineStr">
        <is>
          <t xml:space="preserve">Leila Gharani</t>
        </is>
      </c>
      <c r="H7" s="3">
        <v>463435</v>
      </c>
      <c r="I7" t="inlineStr">
        <is>
          <t xml:space="preserve">5y ago</t>
        </is>
      </c>
      <c r="J7" t="inlineStr">
        <is>
          <t xml:space="preserve">12:05</t>
        </is>
      </c>
      <c r="K7" s="2" t="str">
        <f>HYPERLINK("https://www.youtube.com/watch?v=v-_joMcPpLI","https://www.youtube.com/watch?v=v-_joMcPpLI")</f>
        <v>https://www.youtube.com/watch?v=v-_joMcPpLI</v>
      </c>
      <c r="L7" t="inlineStr">
        <is>
          <t xml:space="preserve">Join 400000+ professionals in our courses here https://link.xelplus.com/yt-d-all-courses Learn how to effortlessly run Office ...</t>
        </is>
      </c>
      <c r="M7" t="inlineStr">
        <is>
          <t xml:space="preserve">power automate excel automation</t>
        </is>
      </c>
    </row>
    <row r="8">
      <c r="A8" s="3">
        <v>7</v>
      </c>
      <c r="B8" t="inlineStr">
        <is>
          <t xml:space="preserve">Video</t>
        </is>
      </c>
      <c r="C8" t="inlineStr">
        <is>
          <t xml:space="preserve">English</t>
        </is>
      </c>
      <c r="D8" t="inlineStr">
        <is>
          <t xml:space="preserve">Course</t>
        </is>
      </c>
      <c r="E8" t="inlineStr">
        <is>
          <t xml:space="preserve">Excel</t>
        </is>
      </c>
      <c r="F8" t="inlineStr">
        <is>
          <t xml:space="preserve">Streamline Excel: Power Automate Tricks You Need to Know!</t>
        </is>
      </c>
      <c r="G8" t="inlineStr">
        <is>
          <t xml:space="preserve">Leila Gharani</t>
        </is>
      </c>
      <c r="H8" s="3">
        <v>212807</v>
      </c>
      <c r="I8" t="inlineStr">
        <is>
          <t xml:space="preserve">5y ago</t>
        </is>
      </c>
      <c r="J8" t="inlineStr">
        <is>
          <t xml:space="preserve">14:34</t>
        </is>
      </c>
      <c r="K8" s="2" t="str">
        <f>HYPERLINK("https://www.youtube.com/watch?v=YBi9PgbnfLQ","https://www.youtube.com/watch?v=YBi9PgbnfLQ")</f>
        <v>https://www.youtube.com/watch?v=YBi9PgbnfLQ</v>
      </c>
      <c r="L8" t="inlineStr">
        <is>
          <t xml:space="preserve">Join 400000+ professionals in our courses here https://link.xelplus.com/yt-d-all-courses Master the art of integrating Excel with ...</t>
        </is>
      </c>
      <c r="M8" t="inlineStr">
        <is>
          <t xml:space="preserve">power automate excel automation</t>
        </is>
      </c>
    </row>
    <row r="9">
      <c r="A9" s="3">
        <v>8</v>
      </c>
      <c r="B9" t="inlineStr">
        <is>
          <t xml:space="preserve">Video</t>
        </is>
      </c>
      <c r="C9" t="inlineStr">
        <is>
          <t xml:space="preserve">English</t>
        </is>
      </c>
      <c r="D9" t="inlineStr">
        <is>
          <t xml:space="preserve">Course</t>
        </is>
      </c>
      <c r="E9" t="inlineStr">
        <is>
          <t xml:space="preserve">Power Apps</t>
        </is>
      </c>
      <c r="F9" t="inlineStr">
        <is>
          <t xml:space="preserve">PL-900 Full Course | Power Platform Fundamentals Certification Training</t>
        </is>
      </c>
      <c r="G9" t="inlineStr">
        <is>
          <t xml:space="preserve">A Guide to Cloud &amp; AI</t>
        </is>
      </c>
      <c r="H9" s="3">
        <v>153557</v>
      </c>
      <c r="I9" t="inlineStr">
        <is>
          <t xml:space="preserve">4y ago</t>
        </is>
      </c>
      <c r="J9" t="inlineStr">
        <is>
          <t xml:space="preserve">2:12:54</t>
        </is>
      </c>
      <c r="K9" s="2" t="str">
        <f>HYPERLINK("https://www.youtube.com/watch?v=lpsre6vWzCc","https://www.youtube.com/watch?v=lpsre6vWzCc")</f>
        <v>https://www.youtube.com/watch?v=lpsre6vWzCc</v>
      </c>
      <c r="L9" t="inlineStr">
        <is>
          <t xml:space="preserve">Learn Microsoft Power Platform tools like Power Apps, Power BI, and Power Automate. Perfect for beginners preparing for the ...</t>
        </is>
      </c>
      <c r="M9" t="inlineStr">
        <is>
          <t xml:space="preserve">PL-900 power platform</t>
        </is>
      </c>
    </row>
    <row r="10">
      <c r="A10" s="3">
        <v>9</v>
      </c>
      <c r="B10" t="inlineStr">
        <is>
          <t xml:space="preserve">Video</t>
        </is>
      </c>
      <c r="C10" t="inlineStr">
        <is>
          <t xml:space="preserve">English</t>
        </is>
      </c>
      <c r="D10" t="inlineStr">
        <is>
          <t xml:space="preserve">Course</t>
        </is>
      </c>
      <c r="E10" t="inlineStr">
        <is>
          <t xml:space="preserve">Desktop/RPA</t>
        </is>
      </c>
      <c r="F10" t="inlineStr">
        <is>
          <t xml:space="preserve">Microsoft Power Automate Desktop - Beginners Course</t>
        </is>
      </c>
      <c r="G10" t="inlineStr">
        <is>
          <t xml:space="preserve">Anders Jensen</t>
        </is>
      </c>
      <c r="H10" s="3">
        <v>69426</v>
      </c>
      <c r="I10" t="inlineStr">
        <is>
          <t xml:space="preserve">3y ago</t>
        </is>
      </c>
      <c r="J10" t="inlineStr">
        <is>
          <t xml:space="preserve">1:52:05</t>
        </is>
      </c>
      <c r="K10" s="2" t="str">
        <f>HYPERLINK("https://www.youtube.com/watch?v=qfpHqfp2R3Y","https://www.youtube.com/watch?v=qfpHqfp2R3Y")</f>
        <v>https://www.youtube.com/watch?v=qfpHqfp2R3Y</v>
      </c>
      <c r="L10" t="inlineStr">
        <is>
          <t xml:space="preserve">Learn Power Automate Desktop in less than two hours on this 2023 beginners course. In the real-time tutorial, you and I will build ...</t>
        </is>
      </c>
      <c r="M10" t="inlineStr">
        <is>
          <t xml:space="preserve">power automate desktop full course</t>
        </is>
      </c>
    </row>
    <row r="11">
      <c r="A11" s="3">
        <v>10</v>
      </c>
      <c r="B11" t="inlineStr">
        <is>
          <t xml:space="preserve">Video</t>
        </is>
      </c>
      <c r="C11" t="inlineStr">
        <is>
          <t xml:space="preserve">English</t>
        </is>
      </c>
      <c r="D11" t="inlineStr">
        <is>
          <t xml:space="preserve">Course</t>
        </is>
      </c>
      <c r="E11" t="inlineStr">
        <is>
          <t xml:space="preserve">Desktop/RPA</t>
        </is>
      </c>
      <c r="F11" t="inlineStr">
        <is>
          <t xml:space="preserve">Power Automate Desktop Tutorial for Beginners | Zero to Hero</t>
        </is>
      </c>
      <c r="G11" t="inlineStr">
        <is>
          <t xml:space="preserve">Thomas Janssen</t>
        </is>
      </c>
      <c r="H11" s="3">
        <v>38351</v>
      </c>
      <c r="I11" t="inlineStr">
        <is>
          <t xml:space="preserve">3y ago</t>
        </is>
      </c>
      <c r="J11" t="inlineStr">
        <is>
          <t xml:space="preserve">1:57:55</t>
        </is>
      </c>
      <c r="K11" s="2" t="str">
        <f>HYPERLINK("https://www.youtube.com/watch?v=Y35ZJs16APQ","https://www.youtube.com/watch?v=Y35ZJs16APQ")</f>
        <v>https://www.youtube.com/watch?v=Y35ZJs16APQ</v>
      </c>
      <c r="L11" t="inlineStr">
        <is>
          <t xml:space="preserve">In this complete Power Automate Desktop beginners course you will learn all the basics about PAD! Within the first 15 minutes you ... Thank you for watching you've chosen the most complete power automate desktop tutorial on the internet my name is Thomas ...</t>
        </is>
      </c>
      <c r="M11" t="inlineStr">
        <is>
          <t xml:space="preserve">power automate desktop full course</t>
        </is>
      </c>
    </row>
    <row r="12">
      <c r="A12" s="3">
        <v>11</v>
      </c>
      <c r="B12" t="inlineStr">
        <is>
          <t xml:space="preserve">Video</t>
        </is>
      </c>
      <c r="C12" t="inlineStr">
        <is>
          <t xml:space="preserve">English</t>
        </is>
      </c>
      <c r="D12" t="inlineStr">
        <is>
          <t xml:space="preserve">Course</t>
        </is>
      </c>
      <c r="E12" t="inlineStr">
        <is>
          <t xml:space="preserve">Desktop/RPA</t>
        </is>
      </c>
      <c r="F12" t="inlineStr">
        <is>
          <t xml:space="preserve">Microsoft Power Automate Desktop 2023 -  RPA MasterClass (Complete Practical Course)</t>
        </is>
      </c>
      <c r="G12" t="inlineStr">
        <is>
          <t xml:space="preserve">Sharath Raju</t>
        </is>
      </c>
      <c r="H12" s="3">
        <v>19524</v>
      </c>
      <c r="I12" t="inlineStr">
        <is>
          <t xml:space="preserve">3y ago</t>
        </is>
      </c>
      <c r="J12" t="inlineStr">
        <is>
          <t xml:space="preserve">4:19:52</t>
        </is>
      </c>
      <c r="K12" s="2" t="str">
        <f>HYPERLINK("https://www.youtube.com/watch?v=VSAkqqHCUts","https://www.youtube.com/watch?v=VSAkqqHCUts")</f>
        <v>https://www.youtube.com/watch?v=VSAkqqHCUts</v>
      </c>
      <c r="L12" t="inlineStr">
        <is>
          <t xml:space="preserve">Microsoft Power Automate Flow Desktop Course Source Code: ...</t>
        </is>
      </c>
      <c r="M12" t="inlineStr">
        <is>
          <t xml:space="preserve">power automate desktop full course ; PL-500 power automate RPA developer</t>
        </is>
      </c>
    </row>
    <row r="13">
      <c r="A13" s="3">
        <v>12</v>
      </c>
      <c r="B13" t="inlineStr">
        <is>
          <t xml:space="preserve">Video</t>
        </is>
      </c>
      <c r="C13" t="inlineStr">
        <is>
          <t xml:space="preserve">English</t>
        </is>
      </c>
      <c r="D13" t="inlineStr">
        <is>
          <t xml:space="preserve">Course</t>
        </is>
      </c>
      <c r="E13" t="inlineStr">
        <is>
          <t xml:space="preserve"/>
        </is>
      </c>
      <c r="F13" t="inlineStr">
        <is>
          <t xml:space="preserve">Microsoft Power Platform Fundamentals - FREE Full Course [2025]</t>
        </is>
      </c>
      <c r="G13" t="inlineStr">
        <is>
          <t xml:space="preserve">Powercademy</t>
        </is>
      </c>
      <c r="H13" s="3">
        <v>17243</v>
      </c>
      <c r="I13" t="inlineStr">
        <is>
          <t xml:space="preserve">1y ago</t>
        </is>
      </c>
      <c r="J13" t="inlineStr">
        <is>
          <t xml:space="preserve">2:14:20</t>
        </is>
      </c>
      <c r="K13" s="2" t="str">
        <f>HYPERLINK("https://www.youtube.com/watch?v=CiRhM251Spw","https://www.youtube.com/watch?v=CiRhM251Spw")</f>
        <v>https://www.youtube.com/watch?v=CiRhM251Spw</v>
      </c>
      <c r="L13" t="inlineStr">
        <is>
          <t xml:space="preserve">Check out Powercademy.com for exclusive programs, new courses, and a thriving community to help you level up your Power ... ... the certification details screen So here I'm on the PL900 Microsoft Certified Power Platform Fundamentals Certification That was ...</t>
        </is>
      </c>
      <c r="M13" t="inlineStr">
        <is>
          <t xml:space="preserve">PL-900 power platform</t>
        </is>
      </c>
    </row>
    <row r="14">
      <c r="A14" s="3">
        <v>13</v>
      </c>
      <c r="B14" t="inlineStr">
        <is>
          <t xml:space="preserve">Video</t>
        </is>
      </c>
      <c r="C14" t="inlineStr">
        <is>
          <t xml:space="preserve">English</t>
        </is>
      </c>
      <c r="D14" t="inlineStr">
        <is>
          <t xml:space="preserve">Course</t>
        </is>
      </c>
      <c r="E14" t="inlineStr">
        <is>
          <t xml:space="preserve">Web automation</t>
        </is>
      </c>
      <c r="F14" t="inlineStr">
        <is>
          <t xml:space="preserve">How To Prepare for the PL-900 Microsoft Power Platform Fundamentals Certification Exam [Full Course]</t>
        </is>
      </c>
      <c r="G14" t="inlineStr">
        <is>
          <t xml:space="preserve">Pragmatic Works</t>
        </is>
      </c>
      <c r="H14" s="3">
        <v>15907</v>
      </c>
      <c r="I14" t="inlineStr">
        <is>
          <t xml:space="preserve">Streamed 2y ago</t>
        </is>
      </c>
      <c r="J14" t="inlineStr">
        <is>
          <t xml:space="preserve">55:30</t>
        </is>
      </c>
      <c r="K14" s="2" t="str">
        <f>HYPERLINK("https://www.youtube.com/watch?v=wLWmkf-S7jw","https://www.youtube.com/watch?v=wLWmkf-S7jw")</f>
        <v>https://www.youtube.com/watch?v=wLWmkf-S7jw</v>
      </c>
      <c r="L14" t="inlineStr">
        <is>
          <t xml:space="preserve">This webinar is ideal for anyone preparing for the PL-900 exam. Join Jonathon Silva as he provides a solid foundation in the ...</t>
        </is>
      </c>
      <c r="M14" t="inlineStr">
        <is>
          <t xml:space="preserve">PL-900 power platform</t>
        </is>
      </c>
    </row>
    <row r="15">
      <c r="A15" s="3">
        <v>14</v>
      </c>
      <c r="B15" t="inlineStr">
        <is>
          <t xml:space="preserve">Video</t>
        </is>
      </c>
      <c r="C15" t="inlineStr">
        <is>
          <t xml:space="preserve">English</t>
        </is>
      </c>
      <c r="D15" t="inlineStr">
        <is>
          <t xml:space="preserve">Course</t>
        </is>
      </c>
      <c r="E15" t="inlineStr">
        <is>
          <t xml:space="preserve"/>
        </is>
      </c>
      <c r="F15" t="inlineStr">
        <is>
          <t xml:space="preserve">PL-900 Power Platform Fundamentals Full Crash Course</t>
        </is>
      </c>
      <c r="G15" t="inlineStr">
        <is>
          <t xml:space="preserve">Tech With Shapingpixel</t>
        </is>
      </c>
      <c r="H15" s="3">
        <v>810</v>
      </c>
      <c r="I15" t="inlineStr">
        <is>
          <t xml:space="preserve">1mo ago</t>
        </is>
      </c>
      <c r="J15" t="inlineStr">
        <is>
          <t xml:space="preserve">1:21:57</t>
        </is>
      </c>
      <c r="K15" s="2" t="str">
        <f>HYPERLINK("https://www.youtube.com/watch?v=kLW86Ydvyvg","https://www.youtube.com/watch?v=kLW86Ydvyvg")</f>
        <v>https://www.youtube.com/watch?v=kLW86Ydvyvg</v>
      </c>
      <c r="L15" t="inlineStr">
        <is>
          <t xml:space="preserve">Join Our YouTube Channel Membership – Elevate Your Learning Experience! Unlock exclusive benefits and take your IT ...</t>
        </is>
      </c>
      <c r="M15" t="inlineStr">
        <is>
          <t xml:space="preserve">PL-900 power platform</t>
        </is>
      </c>
    </row>
    <row r="16">
      <c r="A16" s="3">
        <v>15</v>
      </c>
      <c r="B16" t="inlineStr">
        <is>
          <t xml:space="preserve">Video</t>
        </is>
      </c>
      <c r="C16" t="inlineStr">
        <is>
          <t xml:space="preserve">English</t>
        </is>
      </c>
      <c r="D16" t="inlineStr">
        <is>
          <t xml:space="preserve">Course</t>
        </is>
      </c>
      <c r="E16" t="inlineStr">
        <is>
          <t xml:space="preserve">Desktop/RPA</t>
        </is>
      </c>
      <c r="F16" t="inlineStr">
        <is>
          <t xml:space="preserve">Microsoft PL-500 Power Automate RPA Developer Exam Prep: Full Course</t>
        </is>
      </c>
      <c r="G16" t="inlineStr">
        <is>
          <t xml:space="preserve">Exam Pass Pro</t>
        </is>
      </c>
      <c r="H16" s="3">
        <v>261</v>
      </c>
      <c r="I16" t="inlineStr">
        <is>
          <t xml:space="preserve">3mo ago</t>
        </is>
      </c>
      <c r="J16" t="inlineStr">
        <is>
          <t xml:space="preserve">2:56:50</t>
        </is>
      </c>
      <c r="K16" s="2" t="str">
        <f>HYPERLINK("https://www.youtube.com/watch?v=nIsyptoJo98","https://www.youtube.com/watch?v=nIsyptoJo98")</f>
        <v>https://www.youtube.com/watch?v=nIsyptoJo98</v>
      </c>
      <c r="L16" t="inlineStr">
        <is>
          <t xml:space="preserve">Master the art of enterprise automation and ace the Microsoft PL-500 exam with this comprehensive developer guide! From ...</t>
        </is>
      </c>
      <c r="M16" t="inlineStr">
        <is>
          <t xml:space="preserve">PL-500 power automate RPA developer</t>
        </is>
      </c>
    </row>
    <row r="17">
      <c r="A17" s="3">
        <v>16</v>
      </c>
      <c r="B17" t="inlineStr">
        <is>
          <t xml:space="preserve">Playlist</t>
        </is>
      </c>
      <c r="C17" t="inlineStr">
        <is>
          <t xml:space="preserve">English</t>
        </is>
      </c>
      <c r="D17" t="inlineStr">
        <is>
          <t xml:space="preserve">Course</t>
        </is>
      </c>
      <c r="E17" t="inlineStr">
        <is>
          <t xml:space="preserve"/>
        </is>
      </c>
      <c r="F17" t="inlineStr">
        <is>
          <t xml:space="preserve">Learn Power Automate - Tutorials</t>
        </is>
      </c>
      <c r="G17" t="inlineStr">
        <is>
          <t xml:space="preserve">Pragmatic Works</t>
        </is>
      </c>
      <c r="H17" t="inlineStr">
        <is>
          <t xml:space="preserve"/>
        </is>
      </c>
      <c r="I17" t="inlineStr">
        <is>
          <t xml:space="preserve"/>
        </is>
      </c>
      <c r="J17" t="inlineStr">
        <is>
          <t xml:space="preserve">96 videos</t>
        </is>
      </c>
      <c r="K17" s="2" t="str">
        <f>HYPERLINK("https://www.youtube.com/playlist?list=PLcwrIWK7WBcRJOEMXnYvxcAfwyTMvGZVi","https://www.youtube.com/playlist?list=PLcwrIWK7WBcRJOEMXnYvxcAfwyTMvGZVi")</f>
        <v>https://www.youtube.com/playlist?list=PLcwrIWK7WBcRJOEMXnYvxcAfwyTMvGZVi</v>
      </c>
      <c r="L17" t="inlineStr">
        <is>
          <t xml:space="preserve">Playlist | Updated 4 days ago | Power Automate Tutorial ⚡ Beginner To Pro [Full Course] · 2:34:42 | Power Automate Beginner to Pro Tutorial [Full Course] · 2:51:54 | View full playlist | Learn Microsoft Power Automate with a series of tutorial training videos from Pragmatic Works. Accelerate your wo</t>
        </is>
      </c>
      <c r="M17" t="inlineStr">
        <is>
          <t xml:space="preserve">power automate full course ; power automate tutorial for beginners ; power automate project ; power automate desktop full course ; power automate cloud flow tutorial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microsoft power automate bangla tutorial ; পাওয়ার অটোমেট</t>
        </is>
      </c>
    </row>
    <row r="18">
      <c r="A18" s="3">
        <v>17</v>
      </c>
      <c r="B18" t="inlineStr">
        <is>
          <t xml:space="preserve">Playlist</t>
        </is>
      </c>
      <c r="C18" t="inlineStr">
        <is>
          <t xml:space="preserve">English</t>
        </is>
      </c>
      <c r="D18" t="inlineStr">
        <is>
          <t xml:space="preserve">Course</t>
        </is>
      </c>
      <c r="E18" t="inlineStr">
        <is>
          <t xml:space="preserve"/>
        </is>
      </c>
      <c r="F18" t="inlineStr">
        <is>
          <t xml:space="preserve">Power Automate | Flow | Power Platform</t>
        </is>
      </c>
      <c r="G18" t="inlineStr">
        <is>
          <t xml:space="preserve">Leila Gharani</t>
        </is>
      </c>
      <c r="H18" t="inlineStr">
        <is>
          <t xml:space="preserve"/>
        </is>
      </c>
      <c r="I18" t="inlineStr">
        <is>
          <t xml:space="preserve"/>
        </is>
      </c>
      <c r="J18" t="inlineStr">
        <is>
          <t xml:space="preserve">11 videos</t>
        </is>
      </c>
      <c r="K18" s="2" t="str">
        <f>HYPERLINK("https://www.youtube.com/playlist?list=PLmHVyfmcRKyy3jmMCBbNaDCNNXIZdeUY1","https://www.youtube.com/playlist?list=PLmHVyfmcRKyy3jmMCBbNaDCNNXIZdeUY1")</f>
        <v>https://www.youtube.com/playlist?list=PLmHVyfmcRKyy3jmMCBbNaDCNNXIZdeUY1</v>
      </c>
      <c r="L18" t="inlineStr">
        <is>
          <t xml:space="preserve">Playlist | View full playlist</t>
        </is>
      </c>
      <c r="M18" t="inlineStr">
        <is>
          <t xml:space="preserve">power automate full course ; power automate project ; power automate real world project ; power automate cloud flow tutorial ; power apps power automate project ; power automate course ; power automate tutorial playlist ; পাওয়ার অটোমেট</t>
        </is>
      </c>
    </row>
    <row r="19">
      <c r="A19" s="3">
        <v>18</v>
      </c>
      <c r="B19" t="inlineStr">
        <is>
          <t xml:space="preserve">Playlist</t>
        </is>
      </c>
      <c r="C19" t="inlineStr">
        <is>
          <t xml:space="preserve">English</t>
        </is>
      </c>
      <c r="D19" t="inlineStr">
        <is>
          <t xml:space="preserve">Course</t>
        </is>
      </c>
      <c r="E19" t="inlineStr">
        <is>
          <t xml:space="preserve">Desktop/RPA</t>
        </is>
      </c>
      <c r="F19" t="inlineStr">
        <is>
          <t xml:space="preserve">Power Automate Desktop – RPA (Robotic Process Automation)</t>
        </is>
      </c>
      <c r="G19" t="inlineStr">
        <is>
          <t xml:space="preserve">Pragmatic Works</t>
        </is>
      </c>
      <c r="H19" t="inlineStr">
        <is>
          <t xml:space="preserve"/>
        </is>
      </c>
      <c r="I19" t="inlineStr">
        <is>
          <t xml:space="preserve"/>
        </is>
      </c>
      <c r="J19" t="inlineStr">
        <is>
          <t xml:space="preserve">7 videos</t>
        </is>
      </c>
      <c r="K19" s="2" t="str">
        <f>HYPERLINK("https://www.youtube.com/playlist?list=PLcwrIWK7WBcRcGoBUCiOyxI4uLeHqHliZ","https://www.youtube.com/playlist?list=PLcwrIWK7WBcRcGoBUCiOyxI4uLeHqHliZ")</f>
        <v>https://www.youtube.com/playlist?list=PLcwrIWK7WBcRcGoBUCiOyxI4uLeHqHliZ</v>
      </c>
      <c r="L19" t="inlineStr">
        <is>
          <t xml:space="preserve">Playlist | View full playlist</t>
        </is>
      </c>
      <c r="M19" t="inlineStr">
        <is>
          <t xml:space="preserve">power automate full course ; power automate desktop project ; power automate course ; power automate tutorial playlist</t>
        </is>
      </c>
    </row>
    <row r="20">
      <c r="A20" s="3">
        <v>19</v>
      </c>
      <c r="B20" t="inlineStr">
        <is>
          <t xml:space="preserve">Playlist</t>
        </is>
      </c>
      <c r="C20" t="inlineStr">
        <is>
          <t xml:space="preserve">English</t>
        </is>
      </c>
      <c r="D20" t="inlineStr">
        <is>
          <t xml:space="preserve">Course</t>
        </is>
      </c>
      <c r="E20" t="inlineStr">
        <is>
          <t xml:space="preserve"/>
        </is>
      </c>
      <c r="F20" t="inlineStr">
        <is>
          <t xml:space="preserve">Power Automate</t>
        </is>
      </c>
      <c r="G20" t="inlineStr">
        <is>
          <t xml:space="preserve">Kevin Stratvert</t>
        </is>
      </c>
      <c r="H20" t="inlineStr">
        <is>
          <t xml:space="preserve"/>
        </is>
      </c>
      <c r="I20" t="inlineStr">
        <is>
          <t xml:space="preserve"/>
        </is>
      </c>
      <c r="J20" t="inlineStr">
        <is>
          <t xml:space="preserve">7 videos</t>
        </is>
      </c>
      <c r="K20" s="2" t="str">
        <f>HYPERLINK("https://www.youtube.com/playlist?list=PLlKpQrBME6xKE_fxQ_YzHVV7HluHpifW9","https://www.youtube.com/playlist?list=PLlKpQrBME6xKE_fxQ_YzHVV7HluHpifW9")</f>
        <v>https://www.youtube.com/playlist?list=PLlKpQrBME6xKE_fxQ_YzHVV7HluHpifW9</v>
      </c>
      <c r="L20" t="inlineStr">
        <is>
          <t xml:space="preserve">Playlist | View full playlist</t>
        </is>
      </c>
      <c r="M20" t="inlineStr">
        <is>
          <t xml:space="preserve">power automate full course ; power automate course ; power automate tutorial playlist</t>
        </is>
      </c>
    </row>
    <row r="21">
      <c r="A21" s="3">
        <v>20</v>
      </c>
      <c r="B21" t="inlineStr">
        <is>
          <t xml:space="preserve">Playlist</t>
        </is>
      </c>
      <c r="C21" t="inlineStr">
        <is>
          <t xml:space="preserve">English</t>
        </is>
      </c>
      <c r="D21" t="inlineStr">
        <is>
          <t xml:space="preserve">Course</t>
        </is>
      </c>
      <c r="E21" t="inlineStr">
        <is>
          <t xml:space="preserve"/>
        </is>
      </c>
      <c r="F21" t="inlineStr">
        <is>
          <t xml:space="preserve">Power Automate Beginner Course</t>
        </is>
      </c>
      <c r="G21" t="inlineStr">
        <is>
          <t xml:space="preserve">TheOyinbooke</t>
        </is>
      </c>
      <c r="H21" t="inlineStr">
        <is>
          <t xml:space="preserve"/>
        </is>
      </c>
      <c r="I21" t="inlineStr">
        <is>
          <t xml:space="preserve"/>
        </is>
      </c>
      <c r="J21" t="inlineStr">
        <is>
          <t xml:space="preserve">23 videos</t>
        </is>
      </c>
      <c r="K21" s="2" t="str">
        <f>HYPERLINK("https://www.youtube.com/playlist?list=PL21kTsq1t_-kghr8KDQ4bLZlb-yoLMOiE","https://www.youtube.com/playlist?list=PL21kTsq1t_-kghr8KDQ4bLZlb-yoLMOiE")</f>
        <v>https://www.youtube.com/playlist?list=PL21kTsq1t_-kghr8KDQ4bLZlb-yoLMOiE</v>
      </c>
      <c r="L21" t="inlineStr">
        <is>
          <t xml:space="preserve">Playlist | View full playlist</t>
        </is>
      </c>
      <c r="M21" t="inlineStr">
        <is>
          <t xml:space="preserve">power automate full course</t>
        </is>
      </c>
    </row>
    <row r="22">
      <c r="A22" s="3">
        <v>21</v>
      </c>
      <c r="B22" t="inlineStr">
        <is>
          <t xml:space="preserve">Playlist</t>
        </is>
      </c>
      <c r="C22" t="inlineStr">
        <is>
          <t xml:space="preserve">English</t>
        </is>
      </c>
      <c r="D22" t="inlineStr">
        <is>
          <t xml:space="preserve">Course</t>
        </is>
      </c>
      <c r="E22" t="inlineStr">
        <is>
          <t xml:space="preserve"/>
        </is>
      </c>
      <c r="F22" t="inlineStr">
        <is>
          <t xml:space="preserve">Microsoft Power Automate</t>
        </is>
      </c>
      <c r="G22" t="inlineStr">
        <is>
          <t xml:space="preserve">Shane Young</t>
        </is>
      </c>
      <c r="H22" t="inlineStr">
        <is>
          <t xml:space="preserve"/>
        </is>
      </c>
      <c r="I22" t="inlineStr">
        <is>
          <t xml:space="preserve"/>
        </is>
      </c>
      <c r="J22" t="inlineStr">
        <is>
          <t xml:space="preserve">103 videos</t>
        </is>
      </c>
      <c r="K22" s="2" t="str">
        <f>HYPERLINK("https://www.youtube.com/playlist?list=PLCGGtLsUjhm3pgu2X0tgjnl3BX1MlnT1t","https://www.youtube.com/playlist?list=PLCGGtLsUjhm3pgu2X0tgjnl3BX1MlnT1t")</f>
        <v>https://www.youtube.com/playlist?list=PLCGGtLsUjhm3pgu2X0tgjnl3BX1MlnT1t</v>
      </c>
      <c r="L22" t="inlineStr">
        <is>
          <t xml:space="preserve">Playlist | View full playlist</t>
        </is>
      </c>
      <c r="M22" t="inlineStr">
        <is>
          <t xml:space="preserve">power automate full course</t>
        </is>
      </c>
    </row>
    <row r="23">
      <c r="A23" s="3">
        <v>22</v>
      </c>
      <c r="B23" t="inlineStr">
        <is>
          <t xml:space="preserve">Playlist</t>
        </is>
      </c>
      <c r="C23" t="inlineStr">
        <is>
          <t xml:space="preserve">English</t>
        </is>
      </c>
      <c r="D23" t="inlineStr">
        <is>
          <t xml:space="preserve">Course</t>
        </is>
      </c>
      <c r="E23" t="inlineStr">
        <is>
          <t xml:space="preserve">Desktop/RPA, Teams, AI/Copilot</t>
        </is>
      </c>
      <c r="F23" t="inlineStr">
        <is>
          <t xml:space="preserve">Microsoft Power Automate Tutorials</t>
        </is>
      </c>
      <c r="G23" t="inlineStr">
        <is>
          <t xml:space="preserve">Learn RPA &amp; AI Technologies every day</t>
        </is>
      </c>
      <c r="H23" t="inlineStr">
        <is>
          <t xml:space="preserve"/>
        </is>
      </c>
      <c r="I23" t="inlineStr">
        <is>
          <t xml:space="preserve"/>
        </is>
      </c>
      <c r="J23" t="inlineStr">
        <is>
          <t xml:space="preserve">52 videos</t>
        </is>
      </c>
      <c r="K23" s="2" t="str">
        <f>HYPERLINK("https://www.youtube.com/playlist?list=PLZVSOFwGx4zA3MluKzbxq5Nx18gj5kt5d","https://www.youtube.com/playlist?list=PLZVSOFwGx4zA3MluKzbxq5Nx18gj5kt5d")</f>
        <v>https://www.youtube.com/playlist?list=PLZVSOFwGx4zA3MluKzbxq5Nx18gj5kt5d</v>
      </c>
      <c r="L23" t="inlineStr">
        <is>
          <t xml:space="preserve">Playlist | Microsoft Power Automate Tutorials - Module 1 : Introduction To Microsoft Power Automate · 8:40 | Microsoft Power Automate Tutorials || Module 2 : How to Sign up and sign in for Power Automate old · 12:58 | View full playlist | Microsoft Power Automate, Power Automate, Power Automate Desk</t>
        </is>
      </c>
      <c r="M23" t="inlineStr">
        <is>
          <t xml:space="preserve">power automate full course ; power automate tutorial for beginners ; power automate project ; power automate desktop full course ; power automate cloud flow tutorial ; PL-500 power automate RPA developer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24">
      <c r="A24" s="3">
        <v>23</v>
      </c>
      <c r="B24" t="inlineStr">
        <is>
          <t xml:space="preserve">Playlist</t>
        </is>
      </c>
      <c r="C24" t="inlineStr">
        <is>
          <t xml:space="preserve">English</t>
        </is>
      </c>
      <c r="D24" t="inlineStr">
        <is>
          <t xml:space="preserve">Course</t>
        </is>
      </c>
      <c r="E24" t="inlineStr">
        <is>
          <t xml:space="preserve">Desktop/RPA, Teams, AI/Copilot</t>
        </is>
      </c>
      <c r="F24" t="inlineStr">
        <is>
          <t xml:space="preserve">Microsoft Power Automate Desktop Tutorials from Beginners to Expert</t>
        </is>
      </c>
      <c r="G24" t="inlineStr">
        <is>
          <t xml:space="preserve">Learn RPA &amp; AI Technologies every day</t>
        </is>
      </c>
      <c r="H24" t="inlineStr">
        <is>
          <t xml:space="preserve"/>
        </is>
      </c>
      <c r="I24" t="inlineStr">
        <is>
          <t xml:space="preserve"/>
        </is>
      </c>
      <c r="J24" t="inlineStr">
        <is>
          <t xml:space="preserve">330 videos</t>
        </is>
      </c>
      <c r="K24" s="2" t="str">
        <f>HYPERLINK("https://www.youtube.com/playlist?list=PLZVSOFwGx4zDK7apie3GqgfX6Tu2kmpMA","https://www.youtube.com/playlist?list=PLZVSOFwGx4zDK7apie3GqgfX6Tu2kmpMA")</f>
        <v>https://www.youtube.com/playlist?list=PLZVSOFwGx4zDK7apie3GqgfX6Tu2kmpMA</v>
      </c>
      <c r="L24" t="inlineStr">
        <is>
          <t xml:space="preserve">Playlist | Power Automate Desktop is now FREE for Windows 10 users (Microsoft Ignite 2021) · 10:20 | Microsoft Power Automate Desktop (Preview) Part 1 · 3:51 | View full playlist | Microsoft Power Automate, Power Automate, Power Automate Desktop, Microsoft Power Automate Desktop, Microsoft Power Aut</t>
        </is>
      </c>
      <c r="M24" t="inlineStr">
        <is>
          <t xml:space="preserve">power automate full course ; power automate tutorial for beginners ; power automate project ; power automate real world project ; power automate desktop full course ; power automate desktop project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25">
      <c r="A25" s="3">
        <v>24</v>
      </c>
      <c r="B25" t="inlineStr">
        <is>
          <t xml:space="preserve">Playlist</t>
        </is>
      </c>
      <c r="C25" t="inlineStr">
        <is>
          <t xml:space="preserve">English</t>
        </is>
      </c>
      <c r="D25" t="inlineStr">
        <is>
          <t xml:space="preserve">Course</t>
        </is>
      </c>
      <c r="E25" t="inlineStr">
        <is>
          <t xml:space="preserve">Desktop/RPA, AI/Copilot</t>
        </is>
      </c>
      <c r="F25" t="inlineStr">
        <is>
          <t xml:space="preserve">Power Automate Desktop Full Course – Scratch to Pro | Course Overview</t>
        </is>
      </c>
      <c r="G25" t="inlineStr">
        <is>
          <t xml:space="preserve">Vijayendra Rao</t>
        </is>
      </c>
      <c r="H25" t="inlineStr">
        <is>
          <t xml:space="preserve"/>
        </is>
      </c>
      <c r="I25" t="inlineStr">
        <is>
          <t xml:space="preserve"/>
        </is>
      </c>
      <c r="J25" t="inlineStr">
        <is>
          <t xml:space="preserve">21 videos</t>
        </is>
      </c>
      <c r="K25" s="2" t="str">
        <f>HYPERLINK("https://www.youtube.com/playlist?list=PLf8NPL8BrW9A7VZYRgulpjbWxVLG_OKmS","https://www.youtube.com/playlist?list=PLf8NPL8BrW9A7VZYRgulpjbWxVLG_OKmS")</f>
        <v>https://www.youtube.com/playlist?list=PLf8NPL8BrW9A7VZYRgulpjbWxVLG_OKmS</v>
      </c>
      <c r="L25" t="inlineStr">
        <is>
          <t xml:space="preserve">Playlist | Learn RPA Power Automate Desktop – Full Course Topics · 16:20 | RPA Basics &amp; Installation | Part 1 – Learn Power Automate Desktop · 1:00:07 | View full playlist | 📌This is a complete RPA Power Automate Desktop course right from "What is RPA?" to "AI and Copilot features" of the tool. The</t>
        </is>
      </c>
      <c r="M25" t="inlineStr">
        <is>
          <t xml:space="preserve">power automate full course ; power automate desktop full course ; power automate desktop project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desktop bangla ; power automate in hindi</t>
        </is>
      </c>
    </row>
    <row r="26">
      <c r="A26" s="3">
        <v>25</v>
      </c>
      <c r="B26" t="inlineStr">
        <is>
          <t xml:space="preserve">Playlist</t>
        </is>
      </c>
      <c r="C26" t="inlineStr">
        <is>
          <t xml:space="preserve">English</t>
        </is>
      </c>
      <c r="D26" t="inlineStr">
        <is>
          <t xml:space="preserve">Course</t>
        </is>
      </c>
      <c r="E26" t="inlineStr">
        <is>
          <t xml:space="preserve">SharePoint, Excel, Email/Outlook, Forms</t>
        </is>
      </c>
      <c r="F26" t="inlineStr">
        <is>
          <t xml:space="preserve">Power Automate for Beginners</t>
        </is>
      </c>
      <c r="G26" t="inlineStr">
        <is>
          <t xml:space="preserve">Reza Dorrani</t>
        </is>
      </c>
      <c r="H26" t="inlineStr">
        <is>
          <t xml:space="preserve"/>
        </is>
      </c>
      <c r="I26" t="inlineStr">
        <is>
          <t xml:space="preserve"/>
        </is>
      </c>
      <c r="J26" t="inlineStr">
        <is>
          <t xml:space="preserve">38 videos</t>
        </is>
      </c>
      <c r="K26" s="2" t="str">
        <f>HYPERLINK("https://www.youtube.com/playlist?list=PLTyFh-qDKAiHscqJBrtIpseDtx5XFgDNk","https://www.youtube.com/playlist?list=PLTyFh-qDKAiHscqJBrtIpseDtx5XFgDNk")</f>
        <v>https://www.youtube.com/playlist?list=PLTyFh-qDKAiHscqJBrtIpseDtx5XFgDNk</v>
      </c>
      <c r="L26" t="inlineStr">
        <is>
          <t xml:space="preserve">Playlist | Add &amp; Update Excel Data to SharePoint List using Power Automate | Excel Import using flow · 41:50 | How to save Microsoft Forms Responses &amp; Attachments to SharePoint Lists or Libraries &amp; Send Email · 34:39 | View full playlist | Welcome to "Power Automate for Beginners"! This playlist is </t>
        </is>
      </c>
      <c r="M26" t="inlineStr">
        <is>
          <t xml:space="preserve">power automate full course ; power automate tutorial for beginners ; power automate project ; power automate cloud flow tutorial ; power automate course ; power automate tutorial playlist ; power automate full course hindi ; power automate hindi</t>
        </is>
      </c>
    </row>
    <row r="27">
      <c r="A27" s="3">
        <v>26</v>
      </c>
      <c r="B27" t="inlineStr">
        <is>
          <t xml:space="preserve">Playlist</t>
        </is>
      </c>
      <c r="C27" t="inlineStr">
        <is>
          <t xml:space="preserve">English</t>
        </is>
      </c>
      <c r="D27" t="inlineStr">
        <is>
          <t xml:space="preserve">Course</t>
        </is>
      </c>
      <c r="E27" t="inlineStr">
        <is>
          <t xml:space="preserve">Desktop/RPA, Cloud flows, Excel, Email/Outlook, Approvals, AI/Copilot, PDF, Forms</t>
        </is>
      </c>
      <c r="F27" t="inlineStr">
        <is>
          <t xml:space="preserve">Microsoft Power Automate Beginners Course</t>
        </is>
      </c>
      <c r="G27" t="inlineStr">
        <is>
          <t xml:space="preserve">Anders Jensen</t>
        </is>
      </c>
      <c r="H27" t="inlineStr">
        <is>
          <t xml:space="preserve"/>
        </is>
      </c>
      <c r="I27" t="inlineStr">
        <is>
          <t xml:space="preserve"/>
        </is>
      </c>
      <c r="J27" t="inlineStr">
        <is>
          <t xml:space="preserve">28 videos</t>
        </is>
      </c>
      <c r="K27" s="2" t="str">
        <f>HYPERLINK("https://www.youtube.com/playlist?list=PLXXz88_TPiHqGlJoWhBDCAxZ9m1N_jsB6","https://www.youtube.com/playlist?list=PLXXz88_TPiHqGlJoWhBDCAxZ9m1N_jsB6")</f>
        <v>https://www.youtube.com/playlist?list=PLXXz88_TPiHqGlJoWhBDCAxZ9m1N_jsB6</v>
      </c>
      <c r="L27" t="inlineStr">
        <is>
          <t xml:space="preserve">Playlist | Updated 3 days ago | How to Learn Microsoft Power Automate - Full Tutorial · 46:27 | Microsoft Power Automate - Tutorial for Beginners · 31:13 | View full playlist | Power Automate (cloud flows) tutorials for beginners: Your first flow, Excel, Forms responses, Outlook and attachments, dat</t>
        </is>
      </c>
      <c r="M27" t="inlineStr">
        <is>
          <t xml:space="preserve">power automate full course ; power automate tutorial for beginners ; power automate cloud flow tutorial ; power automate course ; power automate tutorial playlist</t>
        </is>
      </c>
    </row>
    <row r="28">
      <c r="A28" s="3">
        <v>27</v>
      </c>
      <c r="B28" t="inlineStr">
        <is>
          <t xml:space="preserve">Playlist</t>
        </is>
      </c>
      <c r="C28" t="inlineStr">
        <is>
          <t xml:space="preserve">English</t>
        </is>
      </c>
      <c r="D28" t="inlineStr">
        <is>
          <t xml:space="preserve">Course</t>
        </is>
      </c>
      <c r="E28" t="inlineStr">
        <is>
          <t xml:space="preserve">SharePoint</t>
        </is>
      </c>
      <c r="F28" t="inlineStr">
        <is>
          <t xml:space="preserve">Power Automate Tutorial for Beginners | Complete SharePoint Automation &amp; OData Filter Query Series</t>
        </is>
      </c>
      <c r="G28" t="inlineStr">
        <is>
          <t xml:space="preserve">Fun &amp; Learn</t>
        </is>
      </c>
      <c r="H28" t="inlineStr">
        <is>
          <t xml:space="preserve"/>
        </is>
      </c>
      <c r="I28" t="inlineStr">
        <is>
          <t xml:space="preserve"/>
        </is>
      </c>
      <c r="J28" t="inlineStr">
        <is>
          <t xml:space="preserve">7 videos</t>
        </is>
      </c>
      <c r="K28" s="2" t="str">
        <f>HYPERLINK("https://www.youtube.com/playlist?list=PLwJG-LJKe2GqPavqfpYCRzEvALJ9xqAF1","https://www.youtube.com/playlist?list=PLwJG-LJKe2GqPavqfpYCRzEvALJ9xqAF1")</f>
        <v>https://www.youtube.com/playlist?list=PLwJG-LJKe2GqPavqfpYCRzEvALJ9xqAF1</v>
      </c>
      <c r="L28" t="inlineStr">
        <is>
          <t xml:space="preserve">Playlist | View full playlist</t>
        </is>
      </c>
      <c r="M28" t="inlineStr">
        <is>
          <t xml:space="preserve">power automate full course ; power automate sharepoint automation</t>
        </is>
      </c>
    </row>
    <row r="29">
      <c r="A29" s="3">
        <v>28</v>
      </c>
      <c r="B29" t="inlineStr">
        <is>
          <t xml:space="preserve">Playlist</t>
        </is>
      </c>
      <c r="C29" t="inlineStr">
        <is>
          <t xml:space="preserve">English</t>
        </is>
      </c>
      <c r="D29" t="inlineStr">
        <is>
          <t xml:space="preserve">Course</t>
        </is>
      </c>
      <c r="E29" t="inlineStr">
        <is>
          <t xml:space="preserve"/>
        </is>
      </c>
      <c r="F29" t="inlineStr">
        <is>
          <t xml:space="preserve">Power Automate Tutorials</t>
        </is>
      </c>
      <c r="G29" t="inlineStr">
        <is>
          <t xml:space="preserve">Microsoft Power Automate</t>
        </is>
      </c>
      <c r="H29" t="inlineStr">
        <is>
          <t xml:space="preserve"/>
        </is>
      </c>
      <c r="I29" t="inlineStr">
        <is>
          <t xml:space="preserve"/>
        </is>
      </c>
      <c r="J29" t="inlineStr">
        <is>
          <t xml:space="preserve">19 videos</t>
        </is>
      </c>
      <c r="K29" s="2" t="str">
        <f>HYPERLINK("https://www.youtube.com/playlist?list=PLwh1E-0OEEGI4oSRnTEU3jeMDuU-NFl1D","https://www.youtube.com/playlist?list=PLwh1E-0OEEGI4oSRnTEU3jeMDuU-NFl1D")</f>
        <v>https://www.youtube.com/playlist?list=PLwh1E-0OEEGI4oSRnTEU3jeMDuU-NFl1D</v>
      </c>
      <c r="L29" t="inlineStr">
        <is>
          <t xml:space="preserve">Playlist | How to build your first flow · 6:46 | How to manage connections in Power Automate · 4:53 | View full playlist</t>
        </is>
      </c>
      <c r="M29" t="inlineStr">
        <is>
          <t xml:space="preserve">power automate tutorial for beginners ; power automate cloud flow tutorial ; power automate course ; power automate tutorial playlist ; power automate tutorial bangla ; power automate bangla ; microsoft power automate bangla tutorial ; পাওয়ার অটোমেট</t>
        </is>
      </c>
    </row>
    <row r="30">
      <c r="A30" s="3">
        <v>29</v>
      </c>
      <c r="B30" t="inlineStr">
        <is>
          <t xml:space="preserve">Playlist</t>
        </is>
      </c>
      <c r="C30" t="inlineStr">
        <is>
          <t xml:space="preserve">English</t>
        </is>
      </c>
      <c r="D30" t="inlineStr">
        <is>
          <t xml:space="preserve">Course</t>
        </is>
      </c>
      <c r="E30" t="inlineStr">
        <is>
          <t xml:space="preserve">Desktop/RPA, Excel</t>
        </is>
      </c>
      <c r="F30" t="inlineStr">
        <is>
          <t xml:space="preserve">Excel automation with Microsoft Power Automate Desktop</t>
        </is>
      </c>
      <c r="G30" t="inlineStr">
        <is>
          <t xml:space="preserve">MS Power Automate</t>
        </is>
      </c>
      <c r="H30" t="inlineStr">
        <is>
          <t xml:space="preserve"/>
        </is>
      </c>
      <c r="I30" t="inlineStr">
        <is>
          <t xml:space="preserve"/>
        </is>
      </c>
      <c r="J30" t="inlineStr">
        <is>
          <t xml:space="preserve">9 videos</t>
        </is>
      </c>
      <c r="K30" s="2" t="str">
        <f>HYPERLINK("https://www.youtube.com/playlist?list=PLtS0QJFKl_DbCIfFBMPp3uooVOAK6bZ7Q","https://www.youtube.com/playlist?list=PLtS0QJFKl_DbCIfFBMPp3uooVOAK6bZ7Q")</f>
        <v>https://www.youtube.com/playlist?list=PLtS0QJFKl_DbCIfFBMPp3uooVOAK6bZ7Q</v>
      </c>
      <c r="L30" t="inlineStr">
        <is>
          <t xml:space="preserve">Playlist | Power Automate Desktop Excel Automation Tutorial (Part 1 of 3) · 9:06 | Power Automate Desktop Excel Automation Tutorial (Part 2 of 3) · 10:55 | View full playlist</t>
        </is>
      </c>
      <c r="M30" t="inlineStr">
        <is>
          <t xml:space="preserve">power automate project ; power automate desktop full course ; power automate desktop project ; power automate excel automation ; power automate desktop hindi ; power automate project hindi ; power automate hindi ; power automate tutorial bangla ; power automate desktop bangla</t>
        </is>
      </c>
    </row>
    <row r="31">
      <c r="A31" s="3">
        <v>30</v>
      </c>
      <c r="B31" t="inlineStr">
        <is>
          <t xml:space="preserve">Playlist</t>
        </is>
      </c>
      <c r="C31" t="inlineStr">
        <is>
          <t xml:space="preserve">English</t>
        </is>
      </c>
      <c r="D31" t="inlineStr">
        <is>
          <t xml:space="preserve">Course</t>
        </is>
      </c>
      <c r="E31" t="inlineStr">
        <is>
          <t xml:space="preserve">Desktop/RPA, Web automation</t>
        </is>
      </c>
      <c r="F31" t="inlineStr">
        <is>
          <t xml:space="preserve">Web automation in Microsoft Power Automate Desktop</t>
        </is>
      </c>
      <c r="G31" t="inlineStr">
        <is>
          <t xml:space="preserve">MS Power Automate</t>
        </is>
      </c>
      <c r="H31" t="inlineStr">
        <is>
          <t xml:space="preserve"/>
        </is>
      </c>
      <c r="I31" t="inlineStr">
        <is>
          <t xml:space="preserve"/>
        </is>
      </c>
      <c r="J31" t="inlineStr">
        <is>
          <t xml:space="preserve">6 videos</t>
        </is>
      </c>
      <c r="K31" s="2" t="str">
        <f>HYPERLINK("https://www.youtube.com/playlist?list=PLtS0QJFKl_Da-fdSNTZQFMwwgnykMhb3B","https://www.youtube.com/playlist?list=PLtS0QJFKl_Da-fdSNTZQFMwwgnykMhb3B")</f>
        <v>https://www.youtube.com/playlist?list=PLtS0QJFKl_Da-fdSNTZQFMwwgnykMhb3B</v>
      </c>
      <c r="L31" t="inlineStr">
        <is>
          <t xml:space="preserve">Playlist | Scraping data from the web in Microsoft Power Automate for Desktop · 14:44 | How to Download Files from Chrome with Microsoft Power Automate Desktop · 7:00 | View full playlist</t>
        </is>
      </c>
      <c r="M31" t="inlineStr">
        <is>
          <t xml:space="preserve">power automate real world project ; power automate desktop project ; power automate project hindi</t>
        </is>
      </c>
    </row>
    <row r="32">
      <c r="A32" s="3">
        <v>31</v>
      </c>
      <c r="B32" t="inlineStr">
        <is>
          <t xml:space="preserve">Playlist</t>
        </is>
      </c>
      <c r="C32" t="inlineStr">
        <is>
          <t xml:space="preserve">English</t>
        </is>
      </c>
      <c r="D32" t="inlineStr">
        <is>
          <t xml:space="preserve">Course</t>
        </is>
      </c>
      <c r="E32" t="inlineStr">
        <is>
          <t xml:space="preserve">Desktop/RPA</t>
        </is>
      </c>
      <c r="F32" t="inlineStr">
        <is>
          <t xml:space="preserve">Power Automate Desktop</t>
        </is>
      </c>
      <c r="G32" t="inlineStr">
        <is>
          <t xml:space="preserve">Daniel Christian</t>
        </is>
      </c>
      <c r="H32" t="inlineStr">
        <is>
          <t xml:space="preserve"/>
        </is>
      </c>
      <c r="I32" t="inlineStr">
        <is>
          <t xml:space="preserve"/>
        </is>
      </c>
      <c r="J32" t="inlineStr">
        <is>
          <t xml:space="preserve">27 videos</t>
        </is>
      </c>
      <c r="K32" s="2" t="str">
        <f>HYPERLINK("https://www.youtube.com/playlist?list=PLdvjDcj8jpwk5iD6Uh1WJwyVq9bjyXlrL","https://www.youtube.com/playlist?list=PLdvjDcj8jpwk5iD6Uh1WJwyVq9bjyXlrL")</f>
        <v>https://www.youtube.com/playlist?list=PLdvjDcj8jpwk5iD6Uh1WJwyVq9bjyXlrL</v>
      </c>
      <c r="L32" t="inlineStr">
        <is>
          <t xml:space="preserve">Playlist | Introduction to Power Automate for Desktop · 29:58 | Power Automate Desktop Recorder · 23:21 | View full playlist</t>
        </is>
      </c>
      <c r="M32" t="inlineStr">
        <is>
          <t xml:space="preserve">power automate desktop full course ; power automate desktop bangla ; power automate bangla</t>
        </is>
      </c>
    </row>
    <row r="33">
      <c r="A33" s="3">
        <v>32</v>
      </c>
      <c r="B33" t="inlineStr">
        <is>
          <t xml:space="preserve">Playlist</t>
        </is>
      </c>
      <c r="C33" t="inlineStr">
        <is>
          <t xml:space="preserve">English</t>
        </is>
      </c>
      <c r="D33" t="inlineStr">
        <is>
          <t xml:space="preserve">Course</t>
        </is>
      </c>
      <c r="E33" t="inlineStr">
        <is>
          <t xml:space="preserve">SharePoint, Approvals</t>
        </is>
      </c>
      <c r="F33" t="inlineStr">
        <is>
          <t xml:space="preserve">Flow Approvals Cookbook</t>
        </is>
      </c>
      <c r="G33" t="inlineStr">
        <is>
          <t xml:space="preserve">Reza Dorrani</t>
        </is>
      </c>
      <c r="H33" t="inlineStr">
        <is>
          <t xml:space="preserve"/>
        </is>
      </c>
      <c r="I33" t="inlineStr">
        <is>
          <t xml:space="preserve"/>
        </is>
      </c>
      <c r="J33" t="inlineStr">
        <is>
          <t xml:space="preserve">35 videos</t>
        </is>
      </c>
      <c r="K33" s="2" t="str">
        <f>HYPERLINK("https://www.youtube.com/playlist?list=PLTyFh-qDKAiFUGTtwSwFT79Y7_jq_Aipe","https://www.youtube.com/playlist?list=PLTyFh-qDKAiFUGTtwSwFT79Y7_jq_Aipe")</f>
        <v>https://www.youtube.com/playlist?list=PLTyFh-qDKAiFUGTtwSwFT79Y7_jq_Aipe</v>
      </c>
      <c r="L33" t="inlineStr">
        <is>
          <t xml:space="preserve">Playlist | How to build Power Automate Approval Workflows for SharePoint | Step by Step Tutorial · 21:58 | Power Automate Multi Level Approval Workflow | Serial Approval | Multiple Approvers · 17:49 | View full playlist | One stop shop for everything you need to know about the flow approval action</t>
        </is>
      </c>
      <c r="M33" t="inlineStr">
        <is>
          <t xml:space="preserve">power automate approval workflow</t>
        </is>
      </c>
    </row>
    <row r="34">
      <c r="A34" s="3">
        <v>33</v>
      </c>
      <c r="B34" t="inlineStr">
        <is>
          <t xml:space="preserve">Playlist</t>
        </is>
      </c>
      <c r="C34" t="inlineStr">
        <is>
          <t xml:space="preserve">English</t>
        </is>
      </c>
      <c r="D34" t="inlineStr">
        <is>
          <t xml:space="preserve">Course</t>
        </is>
      </c>
      <c r="E34" t="inlineStr">
        <is>
          <t xml:space="preserve">Approvals, Power Apps</t>
        </is>
      </c>
      <c r="F34" t="inlineStr">
        <is>
          <t xml:space="preserve">Claim Approval Application using PowerApps &amp; Power Automate</t>
        </is>
      </c>
      <c r="G34" t="inlineStr">
        <is>
          <t xml:space="preserve">Tips By Anil</t>
        </is>
      </c>
      <c r="H34" t="inlineStr">
        <is>
          <t xml:space="preserve"/>
        </is>
      </c>
      <c r="I34" t="inlineStr">
        <is>
          <t xml:space="preserve"/>
        </is>
      </c>
      <c r="J34" t="inlineStr">
        <is>
          <t xml:space="preserve">8 videos</t>
        </is>
      </c>
      <c r="K34" s="2" t="str">
        <f>HYPERLINK("https://www.youtube.com/playlist?list=PLFKlnjWl05Iy_SKA6cGrKQo1Mslw0BwwE","https://www.youtube.com/playlist?list=PLFKlnjWl05Iy_SKA6cGrKQo1Mslw0BwwE")</f>
        <v>https://www.youtube.com/playlist?list=PLFKlnjWl05Iy_SKA6cGrKQo1Mslw0BwwE</v>
      </c>
      <c r="L34" t="inlineStr">
        <is>
          <t xml:space="preserve">Playlist | Claim Approval Application using PowerApps and Power Automate - Part 1 · 18:18 | Submit New Claim using New Form PowerApps - Claim Request PowerApps Part 2 · 11:33 | View full playlist</t>
        </is>
      </c>
      <c r="M34" t="inlineStr">
        <is>
          <t xml:space="preserve">power automate approval workflow</t>
        </is>
      </c>
    </row>
    <row r="35">
      <c r="A35" s="3">
        <v>34</v>
      </c>
      <c r="B35" t="inlineStr">
        <is>
          <t xml:space="preserve">Playlist</t>
        </is>
      </c>
      <c r="C35" t="inlineStr">
        <is>
          <t xml:space="preserve">English</t>
        </is>
      </c>
      <c r="D35" t="inlineStr">
        <is>
          <t xml:space="preserve">Course</t>
        </is>
      </c>
      <c r="E35" t="inlineStr">
        <is>
          <t xml:space="preserve">Email/Outlook, AI/Copilot, Power Apps</t>
        </is>
      </c>
      <c r="F35" t="inlineStr">
        <is>
          <t xml:space="preserve">AI Builder</t>
        </is>
      </c>
      <c r="G35" t="inlineStr">
        <is>
          <t xml:space="preserve">Microsoft Power Platform</t>
        </is>
      </c>
      <c r="H35" t="inlineStr">
        <is>
          <t xml:space="preserve"/>
        </is>
      </c>
      <c r="I35" t="inlineStr">
        <is>
          <t xml:space="preserve"/>
        </is>
      </c>
      <c r="J35" t="inlineStr">
        <is>
          <t xml:space="preserve">17 videos</t>
        </is>
      </c>
      <c r="K35" s="2" t="str">
        <f>HYPERLINK("https://www.youtube.com/playlist?list=PLi9EhCY4z99UYDkinJ3nT3VgKoixgGDDb","https://www.youtube.com/playlist?list=PLi9EhCY4z99UYDkinJ3nT3VgKoixgGDDb")</f>
        <v>https://www.youtube.com/playlist?list=PLi9EhCY4z99UYDkinJ3nT3VgKoixgGDDb</v>
      </c>
      <c r="L35" t="inlineStr">
        <is>
          <t xml:space="preserve">Playlist | AI Builder Overview · 1:24 | How to automate extracting text from emails in just 1 minute · 1:37 | View full playlist | AI Builder is a Microsoft Power Platform capability that provides AI models that are designed to optimize your business processes. AI Builder enables your business to us</t>
        </is>
      </c>
      <c r="M35" t="inlineStr">
        <is>
          <t xml:space="preserve">power automate AI builder</t>
        </is>
      </c>
    </row>
    <row r="36">
      <c r="A36" s="3">
        <v>35</v>
      </c>
      <c r="B36" t="inlineStr">
        <is>
          <t xml:space="preserve">Playlist</t>
        </is>
      </c>
      <c r="C36" t="inlineStr">
        <is>
          <t xml:space="preserve">English</t>
        </is>
      </c>
      <c r="D36" t="inlineStr">
        <is>
          <t xml:space="preserve">Course</t>
        </is>
      </c>
      <c r="E36" t="inlineStr">
        <is>
          <t xml:space="preserve">Excel, Email/Outlook, AI/Copilot</t>
        </is>
      </c>
      <c r="F36" t="inlineStr">
        <is>
          <t xml:space="preserve">Power Automate AI Builder</t>
        </is>
      </c>
      <c r="G36" t="inlineStr">
        <is>
          <t xml:space="preserve">Technologiate</t>
        </is>
      </c>
      <c r="H36" t="inlineStr">
        <is>
          <t xml:space="preserve"/>
        </is>
      </c>
      <c r="I36" t="inlineStr">
        <is>
          <t xml:space="preserve"/>
        </is>
      </c>
      <c r="J36" t="inlineStr">
        <is>
          <t xml:space="preserve">12 videos</t>
        </is>
      </c>
      <c r="K36" s="2" t="str">
        <f>HYPERLINK("https://www.youtube.com/playlist?list=PL8LAhuciklLZNlNaJMdtnlfL5PYEib5Nl","https://www.youtube.com/playlist?list=PL8LAhuciklLZNlNaJMdtnlfL5PYEib5Nl")</f>
        <v>https://www.youtube.com/playlist?list=PL8LAhuciklLZNlNaJMdtnlfL5PYEib5Nl</v>
      </c>
      <c r="L36" t="inlineStr">
        <is>
          <t xml:space="preserve">Playlist | How to Auto-Send Follow-Up Emails in Outlook When No One Replies | Power Automate + Excel · 24:46 | How to Auto-Forward Outlook Emails to the Right Department with AI Builder and Power Automate · 14:04 | View full playlist | Power Automate + AI Builder, made practical. This playlist walks</t>
        </is>
      </c>
      <c r="M36" t="inlineStr">
        <is>
          <t xml:space="preserve">power automate AI builder</t>
        </is>
      </c>
    </row>
    <row r="37">
      <c r="A37" s="3">
        <v>36</v>
      </c>
      <c r="B37" t="inlineStr">
        <is>
          <t xml:space="preserve">Playlist</t>
        </is>
      </c>
      <c r="C37" t="inlineStr">
        <is>
          <t xml:space="preserve">English</t>
        </is>
      </c>
      <c r="D37" t="inlineStr">
        <is>
          <t xml:space="preserve">Course</t>
        </is>
      </c>
      <c r="E37" t="inlineStr">
        <is>
          <t xml:space="preserve">SharePoint, Excel, Email/Outlook, AI/Copilot</t>
        </is>
      </c>
      <c r="F37" t="inlineStr">
        <is>
          <t xml:space="preserve">AI Builder for Power Platform</t>
        </is>
      </c>
      <c r="G37" t="inlineStr">
        <is>
          <t xml:space="preserve">Reza Dorrani</t>
        </is>
      </c>
      <c r="H37" t="inlineStr">
        <is>
          <t xml:space="preserve"/>
        </is>
      </c>
      <c r="I37" t="inlineStr">
        <is>
          <t xml:space="preserve"/>
        </is>
      </c>
      <c r="J37" t="inlineStr">
        <is>
          <t xml:space="preserve">10 videos</t>
        </is>
      </c>
      <c r="K37" s="2" t="str">
        <f>HYPERLINK("https://www.youtube.com/playlist?list=PLTyFh-qDKAiEecEOiZLLvdPcM_5KmiHFd","https://www.youtube.com/playlist?list=PLTyFh-qDKAiEecEOiZLLvdPcM_5KmiHFd")</f>
        <v>https://www.youtube.com/playlist?list=PLTyFh-qDKAiEecEOiZLLvdPcM_5KmiHFd</v>
      </c>
      <c r="L37" t="inlineStr">
        <is>
          <t xml:space="preserve">Playlist | This AI Flow Exports ANY SharePoint List to Excel with ONE Prompt 🚀🔥 · 22:52 | Extract text from Email Body using AI in Power Automate flows | Azure OpenAI GPT · 12:49 | View full playlist</t>
        </is>
      </c>
      <c r="M37" t="inlineStr">
        <is>
          <t xml:space="preserve">power automate AI builder</t>
        </is>
      </c>
    </row>
    <row r="38">
      <c r="A38" s="3">
        <v>37</v>
      </c>
      <c r="B38" t="inlineStr">
        <is>
          <t xml:space="preserve">Playlist</t>
        </is>
      </c>
      <c r="C38" t="inlineStr">
        <is>
          <t xml:space="preserve">English</t>
        </is>
      </c>
      <c r="D38" t="inlineStr">
        <is>
          <t xml:space="preserve">Course</t>
        </is>
      </c>
      <c r="E38" t="inlineStr">
        <is>
          <t xml:space="preserve">AI/Copilot</t>
        </is>
      </c>
      <c r="F38" t="inlineStr">
        <is>
          <t xml:space="preserve">Power Platform - AI Builder</t>
        </is>
      </c>
      <c r="G38" t="inlineStr">
        <is>
          <t xml:space="preserve">Dhruvin Shah</t>
        </is>
      </c>
      <c r="H38" t="inlineStr">
        <is>
          <t xml:space="preserve"/>
        </is>
      </c>
      <c r="I38" t="inlineStr">
        <is>
          <t xml:space="preserve"/>
        </is>
      </c>
      <c r="J38" t="inlineStr">
        <is>
          <t xml:space="preserve">6 videos</t>
        </is>
      </c>
      <c r="K38" s="2" t="str">
        <f>HYPERLINK("https://www.youtube.com/playlist?list=PLib8Q64STW-s6h5Ceo7Ug-uWD-Orl4Ah4","https://www.youtube.com/playlist?list=PLib8Q64STW-s6h5Ceo7Ug-uWD-Orl4Ah4")</f>
        <v>https://www.youtube.com/playlist?list=PLib8Q64STW-s6h5Ceo7Ug-uWD-Orl4Ah4</v>
      </c>
      <c r="L38" t="inlineStr">
        <is>
          <t xml:space="preserve">Playlist | Custom AI Prompts in Power Platform - Generate Summary from Microsoft Form Data · 18:06 | Unstructured Document Processing with Power Automate and AI Builder · 7:41 | View full playlist</t>
        </is>
      </c>
      <c r="M38" t="inlineStr">
        <is>
          <t xml:space="preserve">power automate AI builder</t>
        </is>
      </c>
    </row>
    <row r="39">
      <c r="A39" s="3">
        <v>38</v>
      </c>
      <c r="B39" t="inlineStr">
        <is>
          <t xml:space="preserve">Playlist</t>
        </is>
      </c>
      <c r="C39" t="inlineStr">
        <is>
          <t xml:space="preserve">English</t>
        </is>
      </c>
      <c r="D39" t="inlineStr">
        <is>
          <t xml:space="preserve">Course</t>
        </is>
      </c>
      <c r="E39" t="inlineStr">
        <is>
          <t xml:space="preserve">AI/Copilot</t>
        </is>
      </c>
      <c r="F39" t="inlineStr">
        <is>
          <t xml:space="preserve">power automate ai builder prediction</t>
        </is>
      </c>
      <c r="G39" t="inlineStr">
        <is>
          <t xml:space="preserve">Yacine</t>
        </is>
      </c>
      <c r="H39" t="inlineStr">
        <is>
          <t xml:space="preserve"/>
        </is>
      </c>
      <c r="I39" t="inlineStr">
        <is>
          <t xml:space="preserve"/>
        </is>
      </c>
      <c r="J39" t="inlineStr">
        <is>
          <t xml:space="preserve">17 videos</t>
        </is>
      </c>
      <c r="K39" s="2" t="str">
        <f>HYPERLINK("https://www.youtube.com/playlist?list=PLiGddTVk9eK9_dVmvttzJK_lkWZM3S8rb","https://www.youtube.com/playlist?list=PLiGddTVk9eK9_dVmvttzJK_lkWZM3S8rb")</f>
        <v>https://www.youtube.com/playlist?list=PLiGddTVk9eK9_dVmvttzJK_lkWZM3S8rb</v>
      </c>
      <c r="L39" t="inlineStr">
        <is>
          <t xml:space="preserve">Playlist | Test Predict AI Model - Power Platform · 6:53 | AI Builder - How to Train and Optimise a Text Classification Model · 11:46 | View full playlist</t>
        </is>
      </c>
      <c r="M39" t="inlineStr">
        <is>
          <t xml:space="preserve">power automate AI builder</t>
        </is>
      </c>
    </row>
    <row r="40">
      <c r="A40" s="3">
        <v>39</v>
      </c>
      <c r="B40" t="inlineStr">
        <is>
          <t xml:space="preserve">Playlist</t>
        </is>
      </c>
      <c r="C40" t="inlineStr">
        <is>
          <t xml:space="preserve">English</t>
        </is>
      </c>
      <c r="D40" t="inlineStr">
        <is>
          <t xml:space="preserve">Course</t>
        </is>
      </c>
      <c r="E40" t="inlineStr">
        <is>
          <t xml:space="preserve">AI/Copilot</t>
        </is>
      </c>
      <c r="F40" t="inlineStr">
        <is>
          <t xml:space="preserve">Copilot Studio for Power Platform Makers</t>
        </is>
      </c>
      <c r="G40" t="inlineStr">
        <is>
          <t xml:space="preserve">Microsoft Power Platform</t>
        </is>
      </c>
      <c r="H40" t="inlineStr">
        <is>
          <t xml:space="preserve"/>
        </is>
      </c>
      <c r="I40" t="inlineStr">
        <is>
          <t xml:space="preserve"/>
        </is>
      </c>
      <c r="J40" t="inlineStr">
        <is>
          <t xml:space="preserve">29 videos</t>
        </is>
      </c>
      <c r="K40" s="2" t="str">
        <f>HYPERLINK("https://www.youtube.com/playlist?list=PLi9EhCY4z99XR9Me1e4LZTF-YsnklmEsa","https://www.youtube.com/playlist?list=PLi9EhCY4z99XR9Me1e4LZTF-YsnklmEsa")</f>
        <v>https://www.youtube.com/playlist?list=PLi9EhCY4z99XR9Me1e4LZTF-YsnklmEsa</v>
      </c>
      <c r="L40" t="inlineStr">
        <is>
          <t xml:space="preserve">Playlist | Copilot Studio for Power Platform Makers | Course Intro · 2:54 | What is Copilot Studio and why you need it? | EP02 · 8:54 | View full playlist | Join Shane Young, Power Platform MVP, as he sets the stage with demos, step-by-step builds, and deep dives into product-specific features that </t>
        </is>
      </c>
      <c r="M40" t="inlineStr">
        <is>
          <t xml:space="preserve">power automate copilot</t>
        </is>
      </c>
    </row>
    <row r="41">
      <c r="A41" s="3">
        <v>40</v>
      </c>
      <c r="B41" t="inlineStr">
        <is>
          <t xml:space="preserve">Playlist</t>
        </is>
      </c>
      <c r="C41" t="inlineStr">
        <is>
          <t xml:space="preserve">English</t>
        </is>
      </c>
      <c r="D41" t="inlineStr">
        <is>
          <t xml:space="preserve">Course</t>
        </is>
      </c>
      <c r="E41" t="inlineStr">
        <is>
          <t xml:space="preserve">Desktop/RPA, Cloud flows, Excel, AI/Copilot, Power Apps, Dataverse</t>
        </is>
      </c>
      <c r="F41" t="inlineStr">
        <is>
          <t xml:space="preserve">Learn PL-500 Power Automate RPA Developer Associate Certification Course</t>
        </is>
      </c>
      <c r="G41" t="inlineStr">
        <is>
          <t xml:space="preserve">Learn RPA &amp; AI Technologies every day</t>
        </is>
      </c>
      <c r="H41" t="inlineStr">
        <is>
          <t xml:space="preserve"/>
        </is>
      </c>
      <c r="I41" t="inlineStr">
        <is>
          <t xml:space="preserve"/>
        </is>
      </c>
      <c r="J41" t="inlineStr">
        <is>
          <t xml:space="preserve">20 videos</t>
        </is>
      </c>
      <c r="K41" s="2" t="str">
        <f>HYPERLINK("https://www.youtube.com/playlist?list=PLZVSOFwGx4zDX7vnfdK1IVuomrm3fKVKB","https://www.youtube.com/playlist?list=PLZVSOFwGx4zDX7vnfdK1IVuomrm3fKVKB")</f>
        <v>https://www.youtube.com/playlist?list=PLZVSOFwGx4zDX7vnfdK1IVuomrm3fKVKB</v>
      </c>
      <c r="L41" t="inlineStr">
        <is>
          <t xml:space="preserve">Playlist | PL 500 Certification : Questions and Answers || Q20 on "Configure an environment" · 13:33 | PL 500 Certification : Questions and Answers || Q18 on "Share Cloud Flows and Desktop Flows" · 6:58 | View full playlist | #pl500 #microsoftpowerautomate #microsoftpowerautomatedesktop #powerautoma</t>
        </is>
      </c>
      <c r="M41" t="inlineStr">
        <is>
          <t xml:space="preserve">PL-500 power automate RPA developer</t>
        </is>
      </c>
    </row>
    <row r="42">
      <c r="A42" s="3">
        <v>41</v>
      </c>
      <c r="B42" t="inlineStr">
        <is>
          <t xml:space="preserve">Playlist</t>
        </is>
      </c>
      <c r="C42" t="inlineStr">
        <is>
          <t xml:space="preserve">English</t>
        </is>
      </c>
      <c r="D42" t="inlineStr">
        <is>
          <t xml:space="preserve">Course</t>
        </is>
      </c>
      <c r="E42" t="inlineStr">
        <is>
          <t xml:space="preserve">Desktop/RPA</t>
        </is>
      </c>
      <c r="F42" t="inlineStr">
        <is>
          <t xml:space="preserve">PL500 Practice Questions - RPA Developer</t>
        </is>
      </c>
      <c r="G42" t="inlineStr">
        <is>
          <t xml:space="preserve">Ska-doosh</t>
        </is>
      </c>
      <c r="H42" t="inlineStr">
        <is>
          <t xml:space="preserve"/>
        </is>
      </c>
      <c r="I42" t="inlineStr">
        <is>
          <t xml:space="preserve"/>
        </is>
      </c>
      <c r="J42" t="inlineStr">
        <is>
          <t xml:space="preserve">30 videos</t>
        </is>
      </c>
      <c r="K42" s="2" t="str">
        <f>HYPERLINK("https://www.youtube.com/playlist?list=PLz5dITSUzInZWo6hZ8bTXv8LmShGrziFJ","https://www.youtube.com/playlist?list=PLz5dITSUzInZWo6hZ8bTXv8LmShGrziFJ")</f>
        <v>https://www.youtube.com/playlist?list=PLz5dITSUzInZWo6hZ8bTXv8LmShGrziFJ</v>
      </c>
      <c r="L42" t="inlineStr">
        <is>
          <t xml:space="preserve">Playlist | PL500 Quiz - Module 1 - Build your first Power Automate Desktop flow · 5:31 | PL500 Quiz - Module 1 - Define input and output parameters in Power Automate · 4:31 | View full playlist</t>
        </is>
      </c>
      <c r="M42" t="inlineStr">
        <is>
          <t xml:space="preserve">PL-500 power automate RPA developer</t>
        </is>
      </c>
    </row>
    <row r="43">
      <c r="A43" s="3">
        <v>42</v>
      </c>
      <c r="B43" t="inlineStr">
        <is>
          <t xml:space="preserve">Playlist</t>
        </is>
      </c>
      <c r="C43" t="inlineStr">
        <is>
          <t xml:space="preserve">English</t>
        </is>
      </c>
      <c r="D43" t="inlineStr">
        <is>
          <t xml:space="preserve">Course</t>
        </is>
      </c>
      <c r="E43" t="inlineStr">
        <is>
          <t xml:space="preserve"/>
        </is>
      </c>
      <c r="F43" t="inlineStr">
        <is>
          <t xml:space="preserve">PL-900: 240 Questions and Answers</t>
        </is>
      </c>
      <c r="G43" t="inlineStr">
        <is>
          <t xml:space="preserve">Code with Bibek</t>
        </is>
      </c>
      <c r="H43" t="inlineStr">
        <is>
          <t xml:space="preserve"/>
        </is>
      </c>
      <c r="I43" t="inlineStr">
        <is>
          <t xml:space="preserve"/>
        </is>
      </c>
      <c r="J43" t="inlineStr">
        <is>
          <t xml:space="preserve">24 videos</t>
        </is>
      </c>
      <c r="K43" s="2" t="str">
        <f>HYPERLINK("https://www.youtube.com/playlist?list=PLiUrl-SQRR7JqXbKIDuZ2VNdxPZJjz_YP","https://www.youtube.com/playlist?list=PLiUrl-SQRR7JqXbKIDuZ2VNdxPZJjz_YP")</f>
        <v>https://www.youtube.com/playlist?list=PLiUrl-SQRR7JqXbKIDuZ2VNdxPZJjz_YP</v>
      </c>
      <c r="L43" t="inlineStr">
        <is>
          <t xml:space="preserve">Playlist | PL-900 Q&amp;A #1 - Microsoft Power Platform Fundamentals · 9:46 | PL-900 Q&amp;A #2 - Microsoft Power Platform Fundamentals · 10:30 | View full playlist</t>
        </is>
      </c>
      <c r="M43" t="inlineStr">
        <is>
          <t xml:space="preserve">PL-900 power platform</t>
        </is>
      </c>
    </row>
    <row r="44">
      <c r="A44" s="3">
        <v>43</v>
      </c>
      <c r="B44" t="inlineStr">
        <is>
          <t xml:space="preserve">Playlist</t>
        </is>
      </c>
      <c r="C44" t="inlineStr">
        <is>
          <t xml:space="preserve">English</t>
        </is>
      </c>
      <c r="D44" t="inlineStr">
        <is>
          <t xml:space="preserve">Course</t>
        </is>
      </c>
      <c r="E44" t="inlineStr">
        <is>
          <t xml:space="preserve"/>
        </is>
      </c>
      <c r="F44" t="inlineStr">
        <is>
          <t xml:space="preserve">MS Power Platform Fundamentals PL-900</t>
        </is>
      </c>
      <c r="G44" t="inlineStr">
        <is>
          <t xml:space="preserve">Martin Hernandez</t>
        </is>
      </c>
      <c r="H44" t="inlineStr">
        <is>
          <t xml:space="preserve"/>
        </is>
      </c>
      <c r="I44" t="inlineStr">
        <is>
          <t xml:space="preserve"/>
        </is>
      </c>
      <c r="J44" t="inlineStr">
        <is>
          <t xml:space="preserve">6 videos</t>
        </is>
      </c>
      <c r="K44" s="2" t="str">
        <f>HYPERLINK("https://www.youtube.com/playlist?list=PLTB18RFES4v2vLuJ9UDKBSSDRuLIXNbVx","https://www.youtube.com/playlist?list=PLTB18RFES4v2vLuJ9UDKBSSDRuLIXNbVx")</f>
        <v>https://www.youtube.com/playlist?list=PLTB18RFES4v2vLuJ9UDKBSSDRuLIXNbVx</v>
      </c>
      <c r="L44" t="inlineStr">
        <is>
          <t xml:space="preserve">Playlist | PL-900 Microsoft Power Platform Fundamentals Study Cram · 1:06:42 | PL-900 Full Course | Power Platform Fundamentals Certification Training · 2:12:54 | View full playlist</t>
        </is>
      </c>
      <c r="M44" t="inlineStr">
        <is>
          <t xml:space="preserve">PL-900 power platform</t>
        </is>
      </c>
    </row>
    <row r="45">
      <c r="A45" s="3">
        <v>44</v>
      </c>
      <c r="B45" t="inlineStr">
        <is>
          <t xml:space="preserve">Playlist</t>
        </is>
      </c>
      <c r="C45" t="inlineStr">
        <is>
          <t xml:space="preserve">English</t>
        </is>
      </c>
      <c r="D45" t="inlineStr">
        <is>
          <t xml:space="preserve">Course</t>
        </is>
      </c>
      <c r="E45" t="inlineStr">
        <is>
          <t xml:space="preserve"/>
        </is>
      </c>
      <c r="F45" t="inlineStr">
        <is>
          <t xml:space="preserve">PL-900</t>
        </is>
      </c>
      <c r="G45" t="inlineStr">
        <is>
          <t xml:space="preserve">Jason Doyle</t>
        </is>
      </c>
      <c r="H45" t="inlineStr">
        <is>
          <t xml:space="preserve"/>
        </is>
      </c>
      <c r="I45" t="inlineStr">
        <is>
          <t xml:space="preserve"/>
        </is>
      </c>
      <c r="J45" t="inlineStr">
        <is>
          <t xml:space="preserve">20 videos</t>
        </is>
      </c>
      <c r="K45" s="2" t="str">
        <f>HYPERLINK("https://www.youtube.com/playlist?list=PLj0gQlZ1nN2WVBviBu_TgdueIffqksN2V","https://www.youtube.com/playlist?list=PLj0gQlZ1nN2WVBviBu_TgdueIffqksN2V")</f>
        <v>https://www.youtube.com/playlist?list=PLj0gQlZ1nN2WVBviBu_TgdueIffqksN2V</v>
      </c>
      <c r="L45" t="inlineStr">
        <is>
          <t xml:space="preserve">Playlist | PL-900 Full Course | Power Platform Fundamentals Certification Training · 2:12:54 | PL-900 Microsoft Power Platform Fundamentals Study Cram · 1:06:42 | View full playlist</t>
        </is>
      </c>
      <c r="M45" t="inlineStr">
        <is>
          <t xml:space="preserve">PL-900 power platform</t>
        </is>
      </c>
    </row>
    <row r="46">
      <c r="A46" s="3">
        <v>45</v>
      </c>
      <c r="B46" t="inlineStr">
        <is>
          <t xml:space="preserve">Playlist</t>
        </is>
      </c>
      <c r="C46" t="inlineStr">
        <is>
          <t xml:space="preserve">English</t>
        </is>
      </c>
      <c r="D46" t="inlineStr">
        <is>
          <t xml:space="preserve">Course</t>
        </is>
      </c>
      <c r="E46" t="inlineStr">
        <is>
          <t xml:space="preserve"/>
        </is>
      </c>
      <c r="F46" t="inlineStr">
        <is>
          <t xml:space="preserve">PL-900 Microsoft Power Platform Fundamentals Study Cram (John Savill's Technical Training) and other</t>
        </is>
      </c>
      <c r="G46" t="inlineStr">
        <is>
          <t xml:space="preserve">HilDuffRox18</t>
        </is>
      </c>
      <c r="H46" t="inlineStr">
        <is>
          <t xml:space="preserve"/>
        </is>
      </c>
      <c r="I46" t="inlineStr">
        <is>
          <t xml:space="preserve"/>
        </is>
      </c>
      <c r="J46" t="inlineStr">
        <is>
          <t xml:space="preserve">15 videos</t>
        </is>
      </c>
      <c r="K46" s="2" t="str">
        <f>HYPERLINK("https://www.youtube.com/playlist?list=PLO3D3EAP-61MTY4fusRc3ph25PXWOMnsl","https://www.youtube.com/playlist?list=PLO3D3EAP-61MTY4fusRc3ph25PXWOMnsl")</f>
        <v>https://www.youtube.com/playlist?list=PLO3D3EAP-61MTY4fusRc3ph25PXWOMnsl</v>
      </c>
      <c r="L46" t="inlineStr">
        <is>
          <t xml:space="preserve">Playlist | PL-900 Microsoft Power Platform Fundamentals Study Cram · 1:06:42 | PL-900 Full Course | Power Platform Fundamentals Certification Training · 2:12:54 | View full playlist | hope you like the playlist too :D will be watching them while cooking dinner :) uploaded by John Savill's Technical </t>
        </is>
      </c>
      <c r="M46" t="inlineStr">
        <is>
          <t xml:space="preserve">PL-900 power platform</t>
        </is>
      </c>
    </row>
    <row r="47">
      <c r="A47" s="3">
        <v>46</v>
      </c>
      <c r="B47" t="inlineStr">
        <is>
          <t xml:space="preserve">Playlist</t>
        </is>
      </c>
      <c r="C47" t="inlineStr">
        <is>
          <t xml:space="preserve">English</t>
        </is>
      </c>
      <c r="D47" t="inlineStr">
        <is>
          <t xml:space="preserve">Course</t>
        </is>
      </c>
      <c r="E47" t="inlineStr">
        <is>
          <t xml:space="preserve"/>
        </is>
      </c>
      <c r="F47" t="inlineStr">
        <is>
          <t xml:space="preserve">Power Automate Advanced Videos</t>
        </is>
      </c>
      <c r="G47" t="inlineStr">
        <is>
          <t xml:space="preserve">Jon Levesque</t>
        </is>
      </c>
      <c r="H47" t="inlineStr">
        <is>
          <t xml:space="preserve"/>
        </is>
      </c>
      <c r="I47" t="inlineStr">
        <is>
          <t xml:space="preserve"/>
        </is>
      </c>
      <c r="J47" t="inlineStr">
        <is>
          <t xml:space="preserve">21 videos</t>
        </is>
      </c>
      <c r="K47" s="2" t="str">
        <f>HYPERLINK("https://www.youtube.com/playlist?list=PLN-cZRQeAiDUy2_6EMagB7NHaFTVxPjeN","https://www.youtube.com/playlist?list=PLN-cZRQeAiDUy2_6EMagB7NHaFTVxPjeN")</f>
        <v>https://www.youtube.com/playlist?list=PLN-cZRQeAiDUy2_6EMagB7NHaFTVxPjeN</v>
      </c>
      <c r="L47" t="inlineStr">
        <is>
          <t xml:space="preserve">Playlist | Power Automate Tutorial - Expressions 301 · 46:54 | Microsoft Power Automate Tutorial - Conditional Triggers · 25:13 | View full playlist | Looking for some of the more advanced Power Automate Material? This is the playlist for you!</t>
        </is>
      </c>
      <c r="M47" t="inlineStr">
        <is>
          <t xml:space="preserve">power automate advanced tutorial</t>
        </is>
      </c>
    </row>
    <row r="48">
      <c r="A48" s="3">
        <v>47</v>
      </c>
      <c r="B48" t="inlineStr">
        <is>
          <t xml:space="preserve">Playlist</t>
        </is>
      </c>
      <c r="C48" t="inlineStr">
        <is>
          <t xml:space="preserve">English</t>
        </is>
      </c>
      <c r="D48" t="inlineStr">
        <is>
          <t xml:space="preserve">Course</t>
        </is>
      </c>
      <c r="E48" t="inlineStr">
        <is>
          <t xml:space="preserve">Desktop/RPA, Cloud flows, SharePoint, Excel, AI/Copilot, Power Apps</t>
        </is>
      </c>
      <c r="F48" t="inlineStr">
        <is>
          <t xml:space="preserve">Power Platform interview questions</t>
        </is>
      </c>
      <c r="G48" t="inlineStr">
        <is>
          <t xml:space="preserve">Ravindra Jadhav</t>
        </is>
      </c>
      <c r="H48" t="inlineStr">
        <is>
          <t xml:space="preserve"/>
        </is>
      </c>
      <c r="I48" t="inlineStr">
        <is>
          <t xml:space="preserve"/>
        </is>
      </c>
      <c r="J48" t="inlineStr">
        <is>
          <t xml:space="preserve">37 videos</t>
        </is>
      </c>
      <c r="K48" s="2" t="str">
        <f>HYPERLINK("https://www.youtube.com/playlist?list=PLwJ5qMG_kqnIjq7dMAVSkG-DaX58fN-vn","https://www.youtube.com/playlist?list=PLwJ5qMG_kqnIjq7dMAVSkG-DaX58fN-vn")</f>
        <v>https://www.youtube.com/playlist?list=PLwJ5qMG_kqnIjq7dMAVSkG-DaX58fN-vn</v>
      </c>
      <c r="L48" t="inlineStr">
        <is>
          <t xml:space="preserve">Playlist | Dynamics 365 Developer Interview Questions Advance level · 14:01 | D365 Interview Questions 2026 · 14:30 | View full playlist | Interview Preparation Microsoft Power Platform Power Platform Interview Questions Power Platfrom Interview Question with Answers Interview Questions on Power App</t>
        </is>
      </c>
      <c r="M48" t="inlineStr">
        <is>
          <t xml:space="preserve">power automate interview questions</t>
        </is>
      </c>
    </row>
    <row r="49">
      <c r="A49" s="3">
        <v>48</v>
      </c>
      <c r="B49" t="inlineStr">
        <is>
          <t xml:space="preserve">Playlist</t>
        </is>
      </c>
      <c r="C49" t="inlineStr">
        <is>
          <t xml:space="preserve">English</t>
        </is>
      </c>
      <c r="D49" t="inlineStr">
        <is>
          <t xml:space="preserve">Course</t>
        </is>
      </c>
      <c r="E49" t="inlineStr">
        <is>
          <t xml:space="preserve">Desktop/RPA, Web automation</t>
        </is>
      </c>
      <c r="F49" t="inlineStr">
        <is>
          <t xml:space="preserve">Power Automate Interview Question &amp; Answers FAQs Series | EmergenTeck</t>
        </is>
      </c>
      <c r="G49" t="inlineStr">
        <is>
          <t xml:space="preserve">EmergenTeck</t>
        </is>
      </c>
      <c r="H49" t="inlineStr">
        <is>
          <t xml:space="preserve"/>
        </is>
      </c>
      <c r="I49" t="inlineStr">
        <is>
          <t xml:space="preserve"/>
        </is>
      </c>
      <c r="J49" t="inlineStr">
        <is>
          <t xml:space="preserve">9 videos</t>
        </is>
      </c>
      <c r="K49" s="2" t="str">
        <f>HYPERLINK("https://www.youtube.com/playlist?list=PLHtcx5qWT4ToBe1bTsNgMbAlRqbAYio3v","https://www.youtube.com/playlist?list=PLHtcx5qWT4ToBe1bTsNgMbAlRqbAYio3v")</f>
        <v>https://www.youtube.com/playlist?list=PLHtcx5qWT4ToBe1bTsNgMbAlRqbAYio3v</v>
      </c>
      <c r="L49" t="inlineStr">
        <is>
          <t xml:space="preserve">Playlist | Power Automate Tutorials for Beginners: How to Get Started | EmergenTeck · 45:17 | What is Power Automate Power Automate Interview FAQ | EmergenTeck · 0:46 | View full playlist | At EmergenTeck, we believe in the power of knowledge sharing, and that's why we're launching an initiative – t</t>
        </is>
      </c>
      <c r="M49" t="inlineStr">
        <is>
          <t xml:space="preserve">power automate interview questions</t>
        </is>
      </c>
    </row>
    <row r="50">
      <c r="A50" s="3">
        <v>49</v>
      </c>
      <c r="B50" t="inlineStr">
        <is>
          <t xml:space="preserve">Playlist</t>
        </is>
      </c>
      <c r="C50" t="inlineStr">
        <is>
          <t xml:space="preserve">English</t>
        </is>
      </c>
      <c r="D50" t="inlineStr">
        <is>
          <t xml:space="preserve">Course</t>
        </is>
      </c>
      <c r="E50" t="inlineStr">
        <is>
          <t xml:space="preserve"/>
        </is>
      </c>
      <c r="F50" t="inlineStr">
        <is>
          <t xml:space="preserve">Power Automate In Dynamics 365 CE</t>
        </is>
      </c>
      <c r="G50" t="inlineStr">
        <is>
          <t xml:space="preserve">JV UNIVERSE</t>
        </is>
      </c>
      <c r="H50" t="inlineStr">
        <is>
          <t xml:space="preserve"/>
        </is>
      </c>
      <c r="I50" t="inlineStr">
        <is>
          <t xml:space="preserve"/>
        </is>
      </c>
      <c r="J50" t="inlineStr">
        <is>
          <t xml:space="preserve">8 videos</t>
        </is>
      </c>
      <c r="K50" s="2" t="str">
        <f>HYPERLINK("https://www.youtube.com/playlist?list=PL4dp4ysvhmUJBKx8PnugDdW8Iy-6pB8tu","https://www.youtube.com/playlist?list=PL4dp4ysvhmUJBKx8PnugDdW8Iy-6pB8tu")</f>
        <v>https://www.youtube.com/playlist?list=PL4dp4ysvhmUJBKx8PnugDdW8Iy-6pB8tu</v>
      </c>
      <c r="L50" t="inlineStr">
        <is>
          <t xml:space="preserve">Playlist | Introduction to Power Automate &amp; Its Role in Dynamics 365 ft. Jay Patel · 16:49 | Power Automate Flow Types Explained | Dynamics 365 CRM ft. Jay Patel · 42:36 | View full playlist</t>
        </is>
      </c>
      <c r="M50" t="inlineStr">
        <is>
          <t xml:space="preserve">power automate course</t>
        </is>
      </c>
    </row>
    <row r="51">
      <c r="A51" s="3">
        <v>50</v>
      </c>
      <c r="B51" t="inlineStr">
        <is>
          <t xml:space="preserve">Playlist</t>
        </is>
      </c>
      <c r="C51" t="inlineStr">
        <is>
          <t xml:space="preserve">English</t>
        </is>
      </c>
      <c r="D51" t="inlineStr">
        <is>
          <t xml:space="preserve">Course</t>
        </is>
      </c>
      <c r="E51" t="inlineStr">
        <is>
          <t xml:space="preserve"/>
        </is>
      </c>
      <c r="F51" t="inlineStr">
        <is>
          <t xml:space="preserve">Power Automate in a Day Full tutorial - 2026 - By Serge Luca aka "Dr Flow"</t>
        </is>
      </c>
      <c r="G51" t="inlineStr">
        <is>
          <t xml:space="preserve">serge luca aka 'Doctor Flow'</t>
        </is>
      </c>
      <c r="H51" t="inlineStr">
        <is>
          <t xml:space="preserve"/>
        </is>
      </c>
      <c r="I51" t="inlineStr">
        <is>
          <t xml:space="preserve"/>
        </is>
      </c>
      <c r="J51" t="inlineStr">
        <is>
          <t xml:space="preserve">12 videos</t>
        </is>
      </c>
      <c r="K51" s="2" t="str">
        <f>HYPERLINK("https://www.youtube.com/playlist?list=PL6oVinAUc710j7KwOxQUvAXZACagc2k-Y","https://www.youtube.com/playlist?list=PL6oVinAUc710j7KwOxQUvAXZACagc2k-Y")</f>
        <v>https://www.youtube.com/playlist?list=PL6oVinAUc710j7KwOxQUvAXZACagc2k-Y</v>
      </c>
      <c r="L51" t="inlineStr">
        <is>
          <t xml:space="preserve">Playlist | View full playlist</t>
        </is>
      </c>
      <c r="M51" t="inlineStr">
        <is>
          <t xml:space="preserve">power automate course</t>
        </is>
      </c>
    </row>
    <row r="52">
      <c r="A52" s="3">
        <v>51</v>
      </c>
      <c r="B52" t="inlineStr">
        <is>
          <t xml:space="preserve">Playlist</t>
        </is>
      </c>
      <c r="C52" t="inlineStr">
        <is>
          <t xml:space="preserve">English</t>
        </is>
      </c>
      <c r="D52" t="inlineStr">
        <is>
          <t xml:space="preserve">Course</t>
        </is>
      </c>
      <c r="E52" t="inlineStr">
        <is>
          <t xml:space="preserve">AI/Copilot</t>
        </is>
      </c>
      <c r="F52" t="inlineStr">
        <is>
          <t xml:space="preserve">AI in Action: Powering Up with Power Automate Series</t>
        </is>
      </c>
      <c r="G52" t="inlineStr">
        <is>
          <t xml:space="preserve">Microsoft Power Platform</t>
        </is>
      </c>
      <c r="H52" t="inlineStr">
        <is>
          <t xml:space="preserve"/>
        </is>
      </c>
      <c r="I52" t="inlineStr">
        <is>
          <t xml:space="preserve"/>
        </is>
      </c>
      <c r="J52" t="inlineStr">
        <is>
          <t xml:space="preserve">11 videos</t>
        </is>
      </c>
      <c r="K52" s="2" t="str">
        <f>HYPERLINK("https://www.youtube.com/playlist?list=PLi9EhCY4z99VEKqQ3dT5ep_dOiRiRq28X","https://www.youtube.com/playlist?list=PLi9EhCY4z99VEKqQ3dT5ep_dOiRiRq28X")</f>
        <v>https://www.youtube.com/playlist?list=PLi9EhCY4z99VEKqQ3dT5ep_dOiRiRq28X</v>
      </c>
      <c r="L52" t="inlineStr">
        <is>
          <t xml:space="preserve">Playlist | View full playlist</t>
        </is>
      </c>
      <c r="M52" t="inlineStr">
        <is>
          <t xml:space="preserve">power automate course</t>
        </is>
      </c>
    </row>
    <row r="53">
      <c r="A53" s="3">
        <v>52</v>
      </c>
      <c r="B53" t="inlineStr">
        <is>
          <t xml:space="preserve">Playlist</t>
        </is>
      </c>
      <c r="C53" t="inlineStr">
        <is>
          <t xml:space="preserve">English</t>
        </is>
      </c>
      <c r="D53" t="inlineStr">
        <is>
          <t xml:space="preserve">Course</t>
        </is>
      </c>
      <c r="E53" t="inlineStr">
        <is>
          <t xml:space="preserve">Desktop/RPA, Excel, Email/Outlook, AI/Copilot, Web automation</t>
        </is>
      </c>
      <c r="F53" t="inlineStr">
        <is>
          <t xml:space="preserve">How to Use Microsoft Power Automate Desktop</t>
        </is>
      </c>
      <c r="G53" t="inlineStr">
        <is>
          <t xml:space="preserve">Anders Jensen</t>
        </is>
      </c>
      <c r="H53" t="inlineStr">
        <is>
          <t xml:space="preserve"/>
        </is>
      </c>
      <c r="I53" t="inlineStr">
        <is>
          <t xml:space="preserve"/>
        </is>
      </c>
      <c r="J53" t="inlineStr">
        <is>
          <t xml:space="preserve">10 videos</t>
        </is>
      </c>
      <c r="K53" s="2" t="str">
        <f>HYPERLINK("https://www.youtube.com/playlist?list=PLXXz88_TPiHpkqbS8g5GTELId9gRB6ggF","https://www.youtube.com/playlist?list=PLXXz88_TPiHpkqbS8g5GTELId9gRB6ggF")</f>
        <v>https://www.youtube.com/playlist?list=PLXXz88_TPiHpkqbS8g5GTELId9gRB6ggF</v>
      </c>
      <c r="L53" t="inlineStr">
        <is>
          <t xml:space="preserve">Playlist | Updated today | How to Use Variables in Microsoft Power Automate Desktop · 30:26 | How to Use the Recorder in Microsoft Power Automate Desktop · 8:07 | View full playlist | Short Power Automate Desktop how-to tutorials: Variables, the recorder, if and switch, loops, Excel, applications, b</t>
        </is>
      </c>
      <c r="M53" t="inlineStr">
        <is>
          <t xml:space="preserve">power automate tutorial playlist ; power automate desktop</t>
        </is>
      </c>
    </row>
    <row r="54">
      <c r="A54" s="3">
        <v>53</v>
      </c>
      <c r="B54" t="inlineStr">
        <is>
          <t xml:space="preserve">Playlist</t>
        </is>
      </c>
      <c r="C54" t="inlineStr">
        <is>
          <t xml:space="preserve">English</t>
        </is>
      </c>
      <c r="D54" t="inlineStr">
        <is>
          <t xml:space="preserve">Course</t>
        </is>
      </c>
      <c r="E54" t="inlineStr">
        <is>
          <t xml:space="preserve">Desktop/RPA</t>
        </is>
      </c>
      <c r="F54" t="inlineStr">
        <is>
          <t xml:space="preserve">Getting Started with Power Automate Desktop</t>
        </is>
      </c>
      <c r="G54" t="inlineStr">
        <is>
          <t xml:space="preserve">Microsoft Power Platform</t>
        </is>
      </c>
      <c r="H54" t="inlineStr">
        <is>
          <t xml:space="preserve"/>
        </is>
      </c>
      <c r="I54" t="inlineStr">
        <is>
          <t xml:space="preserve"/>
        </is>
      </c>
      <c r="J54" t="inlineStr">
        <is>
          <t xml:space="preserve">11 videos</t>
        </is>
      </c>
      <c r="K54" s="2" t="str">
        <f>HYPERLINK("https://www.youtube.com/playlist?list=PLi9EhCY4z99XC7jwJlMyHU0iYO8dR5cVc","https://www.youtube.com/playlist?list=PLi9EhCY4z99XC7jwJlMyHU0iYO8dR5cVc")</f>
        <v>https://www.youtube.com/playlist?list=PLi9EhCY4z99XC7jwJlMyHU0iYO8dR5cVc</v>
      </c>
      <c r="L54" t="inlineStr">
        <is>
          <t xml:space="preserve">Playlist | Power Automate Desktop Basics · 9:35 | Getting Started with Power Automate Desktop - Part 1 | Creating Your First Flow · 1:09 | View full playlist | Looking to take your first dive into Power Automate Desktop? Look no further! We have all of the info you need, right here!</t>
        </is>
      </c>
      <c r="M54" t="inlineStr">
        <is>
          <t xml:space="preserve">power automate desktop</t>
        </is>
      </c>
    </row>
    <row r="55">
      <c r="A55" s="3">
        <v>54</v>
      </c>
      <c r="B55" t="inlineStr">
        <is>
          <t xml:space="preserve">Playlist</t>
        </is>
      </c>
      <c r="C55" t="inlineStr">
        <is>
          <t xml:space="preserve">English</t>
        </is>
      </c>
      <c r="D55" t="inlineStr">
        <is>
          <t xml:space="preserve">Course</t>
        </is>
      </c>
      <c r="E55" t="inlineStr">
        <is>
          <t xml:space="preserve">Desktop/RPA</t>
        </is>
      </c>
      <c r="F55" t="inlineStr">
        <is>
          <t xml:space="preserve">SAP Automation with Power Automate Desktop</t>
        </is>
      </c>
      <c r="G55" t="inlineStr">
        <is>
          <t xml:space="preserve">Marcelo Cruz</t>
        </is>
      </c>
      <c r="H55" t="inlineStr">
        <is>
          <t xml:space="preserve"/>
        </is>
      </c>
      <c r="I55" t="inlineStr">
        <is>
          <t xml:space="preserve"/>
        </is>
      </c>
      <c r="J55" t="inlineStr">
        <is>
          <t xml:space="preserve">10 videos</t>
        </is>
      </c>
      <c r="K55" s="2" t="str">
        <f>HYPERLINK("https://www.youtube.com/playlist?list=PLH9xqHLsd2zsHS43U52qnIaMyLFMtgBbm","https://www.youtube.com/playlist?list=PLH9xqHLsd2zsHS43U52qnIaMyLFMtgBbm")</f>
        <v>https://www.youtube.com/playlist?list=PLH9xqHLsd2zsHS43U52qnIaMyLFMtgBbm</v>
      </c>
      <c r="L55" t="inlineStr">
        <is>
          <t xml:space="preserve">Playlist | How To Login Into SAP on Power Automate Desktop - RPA Tutorial · 9:23 | How To Automate SAP login with Power Automate Desktop · 6:09 | View full playlist</t>
        </is>
      </c>
      <c r="M55" t="inlineStr">
        <is>
          <t xml:space="preserve">power automate desktop</t>
        </is>
      </c>
    </row>
    <row r="56">
      <c r="A56" s="3">
        <v>55</v>
      </c>
      <c r="B56" t="inlineStr">
        <is>
          <t xml:space="preserve">Playlist</t>
        </is>
      </c>
      <c r="C56" t="inlineStr">
        <is>
          <t xml:space="preserve">English</t>
        </is>
      </c>
      <c r="D56" t="inlineStr">
        <is>
          <t xml:space="preserve">Course</t>
        </is>
      </c>
      <c r="E56" t="inlineStr">
        <is>
          <t xml:space="preserve">Desktop/RPA, Excel, Web automation</t>
        </is>
      </c>
      <c r="F56" t="inlineStr">
        <is>
          <t xml:space="preserve">Power Automate Desktop for Beginners | From Zero to Hero</t>
        </is>
      </c>
      <c r="G56" t="inlineStr">
        <is>
          <t xml:space="preserve">Thomas Janssen</t>
        </is>
      </c>
      <c r="H56" t="inlineStr">
        <is>
          <t xml:space="preserve"/>
        </is>
      </c>
      <c r="I56" t="inlineStr">
        <is>
          <t xml:space="preserve"/>
        </is>
      </c>
      <c r="J56" t="inlineStr">
        <is>
          <t xml:space="preserve">8 videos</t>
        </is>
      </c>
      <c r="K56" s="2" t="str">
        <f>HYPERLINK("https://www.youtube.com/playlist?list=PLgSxNxbk3DbNaKgT4DcXzoABhVvg1JD8y","https://www.youtube.com/playlist?list=PLgSxNxbk3DbNaKgT4DcXzoABhVvg1JD8y")</f>
        <v>https://www.youtube.com/playlist?list=PLgSxNxbk3DbNaKgT4DcXzoABhVvg1JD8y</v>
      </c>
      <c r="L56" t="inlineStr">
        <is>
          <t xml:space="preserve">Playlist | Automate any Web Application with Power Automate Desktop! · 16:36 | Power Automate Desktop Excel Tutorial | Excel Tips &amp; Tricks · 11:47 | View full playlist | Do you want to learn Power Automate Desktop, one of the fastest growing RPA tools which is available for free? In this tutorial yo</t>
        </is>
      </c>
      <c r="M56" t="inlineStr">
        <is>
          <t xml:space="preserve">power automate desktop</t>
        </is>
      </c>
    </row>
    <row r="57">
      <c r="A57" s="3">
        <v>56</v>
      </c>
      <c r="B57" t="inlineStr">
        <is>
          <t xml:space="preserve">Playlist</t>
        </is>
      </c>
      <c r="C57" t="inlineStr">
        <is>
          <t xml:space="preserve">English</t>
        </is>
      </c>
      <c r="D57" t="inlineStr">
        <is>
          <t xml:space="preserve">Course</t>
        </is>
      </c>
      <c r="E57" t="inlineStr">
        <is>
          <t xml:space="preserve">Desktop/RPA</t>
        </is>
      </c>
      <c r="F57" t="inlineStr">
        <is>
          <t xml:space="preserve">Automate It Special Series:  Managing Power Automate for Desktop</t>
        </is>
      </c>
      <c r="G57" t="inlineStr">
        <is>
          <t xml:space="preserve">Microsoft Power Platform</t>
        </is>
      </c>
      <c r="H57" t="inlineStr">
        <is>
          <t xml:space="preserve"/>
        </is>
      </c>
      <c r="I57" t="inlineStr">
        <is>
          <t xml:space="preserve"/>
        </is>
      </c>
      <c r="J57" t="inlineStr">
        <is>
          <t xml:space="preserve">8 videos</t>
        </is>
      </c>
      <c r="K57" s="2" t="str">
        <f>HYPERLINK("https://www.youtube.com/playlist?list=PLi9EhCY4z99XhBAdxiQL2QyOzhVgHxtAP","https://www.youtube.com/playlist?list=PLi9EhCY4z99XhBAdxiQL2QyOzhVgHxtAP")</f>
        <v>https://www.youtube.com/playlist?list=PLi9EhCY4z99XhBAdxiQL2QyOzhVgHxtAP</v>
      </c>
      <c r="L57" t="inlineStr">
        <is>
          <t xml:space="preserve">Playlist | Managing Power Automate for Desktop (PAD) on Windows - Part 1 of 8 · 7:58 | Creating an Intune Package for Microsoft Power Automate for Desktop - Part 2 of 8 · 14:25 | View full playlist | Welcome to a special series around managing Power Automate for desktop on Windows at scale throughou</t>
        </is>
      </c>
      <c r="M57" t="inlineStr">
        <is>
          <t xml:space="preserve">power automate desktop</t>
        </is>
      </c>
    </row>
    <row r="58">
      <c r="A58" s="3">
        <v>57</v>
      </c>
      <c r="B58" t="inlineStr">
        <is>
          <t xml:space="preserve">Playlist</t>
        </is>
      </c>
      <c r="C58" t="inlineStr">
        <is>
          <t xml:space="preserve">English</t>
        </is>
      </c>
      <c r="D58" t="inlineStr">
        <is>
          <t xml:space="preserve">Course</t>
        </is>
      </c>
      <c r="E58" t="inlineStr">
        <is>
          <t xml:space="preserve">SharePoint, PDF</t>
        </is>
      </c>
      <c r="F58" t="inlineStr">
        <is>
          <t xml:space="preserve">Power Automate Flow Ideas</t>
        </is>
      </c>
      <c r="G58" t="inlineStr">
        <is>
          <t xml:space="preserve">A Creative Opinion</t>
        </is>
      </c>
      <c r="H58" t="inlineStr">
        <is>
          <t xml:space="preserve"/>
        </is>
      </c>
      <c r="I58" t="inlineStr">
        <is>
          <t xml:space="preserve"/>
        </is>
      </c>
      <c r="J58" t="inlineStr">
        <is>
          <t xml:space="preserve">26 videos</t>
        </is>
      </c>
      <c r="K58" s="2" t="str">
        <f>HYPERLINK("https://www.youtube.com/playlist?list=PLphkuAZNVjJCT2tMHTDcb0Yz_uT8vCeNI","https://www.youtube.com/playlist?list=PLphkuAZNVjJCT2tMHTDcb0Yz_uT8vCeNI")</f>
        <v>https://www.youtube.com/playlist?list=PLphkuAZNVjJCT2tMHTDcb0Yz_uT8vCeNI</v>
      </c>
      <c r="L58" t="inlineStr">
        <is>
          <t xml:space="preserve">Playlist | How Convert a WORD Doc to PDF by Dragging and Dropping · 0:24 | Grant ITEM LEVEL Permissions on a SharePoint List ITEM with Power Automate · 7:46 | View full playlist</t>
        </is>
      </c>
      <c r="M58" t="inlineStr">
        <is>
          <t xml:space="preserve">power automate project</t>
        </is>
      </c>
    </row>
    <row r="59">
      <c r="A59" s="3">
        <v>58</v>
      </c>
      <c r="B59" t="inlineStr">
        <is>
          <t xml:space="preserve">Playlist</t>
        </is>
      </c>
      <c r="C59" t="inlineStr">
        <is>
          <t xml:space="preserve">English</t>
        </is>
      </c>
      <c r="D59" t="inlineStr">
        <is>
          <t xml:space="preserve">Course</t>
        </is>
      </c>
      <c r="E59" t="inlineStr">
        <is>
          <t xml:space="preserve">Email/Outlook</t>
        </is>
      </c>
      <c r="F59" t="inlineStr">
        <is>
          <t xml:space="preserve">Power Automate</t>
        </is>
      </c>
      <c r="G59" t="inlineStr">
        <is>
          <t xml:space="preserve">Onetidbit</t>
        </is>
      </c>
      <c r="H59" t="inlineStr">
        <is>
          <t xml:space="preserve"/>
        </is>
      </c>
      <c r="I59" t="inlineStr">
        <is>
          <t xml:space="preserve"/>
        </is>
      </c>
      <c r="J59" t="inlineStr">
        <is>
          <t xml:space="preserve">38 videos</t>
        </is>
      </c>
      <c r="K59" s="2" t="str">
        <f>HYPERLINK("https://www.youtube.com/playlist?list=PL7RVk6Wdfyajgyuhzn2inKcapaegffPSI","https://www.youtube.com/playlist?list=PL7RVk6Wdfyajgyuhzn2inKcapaegffPSI")</f>
        <v>https://www.youtube.com/playlist?list=PL7RVk6Wdfyajgyuhzn2inKcapaegffPSI</v>
      </c>
      <c r="L59" t="inlineStr">
        <is>
          <t xml:space="preserve">Playlist | Automate Employees Birthday or Anniversary Emails using Power Automate (MS Flow) · 18:52 | Embed image in Power Automate (MS Flow) Email · 5:11 | View full playlist</t>
        </is>
      </c>
      <c r="M59" t="inlineStr">
        <is>
          <t xml:space="preserve">power automate tutorial bangla</t>
        </is>
      </c>
    </row>
    <row r="60">
      <c r="A60" s="3">
        <v>59</v>
      </c>
      <c r="B60" t="inlineStr">
        <is>
          <t xml:space="preserve">Video</t>
        </is>
      </c>
      <c r="C60" t="inlineStr">
        <is>
          <t xml:space="preserve">Hindi</t>
        </is>
      </c>
      <c r="D60" t="inlineStr">
        <is>
          <t xml:space="preserve">Course</t>
        </is>
      </c>
      <c r="E60" t="inlineStr">
        <is>
          <t xml:space="preserve">Desktop/RPA</t>
        </is>
      </c>
      <c r="F60" t="inlineStr">
        <is>
          <t xml:space="preserve">Power Automate Desktop for Beginners | Learn Power Automate Desktop in हिंदी</t>
        </is>
      </c>
      <c r="G60" t="inlineStr">
        <is>
          <t xml:space="preserve">KT Sessions</t>
        </is>
      </c>
      <c r="H60" s="3">
        <v>19214</v>
      </c>
      <c r="I60" t="inlineStr">
        <is>
          <t xml:space="preserve">1y ago</t>
        </is>
      </c>
      <c r="J60" t="inlineStr">
        <is>
          <t xml:space="preserve">1:00:02</t>
        </is>
      </c>
      <c r="K60" s="2" t="str">
        <f>HYPERLINK("https://www.youtube.com/watch?v=NwRwyoK1G7w","https://www.youtube.com/watch?v=NwRwyoK1G7w")</f>
        <v>https://www.youtube.com/watch?v=NwRwyoK1G7w</v>
      </c>
      <c r="L60" t="inlineStr">
        <is>
          <t xml:space="preserve">... Desktop for Beginners,power automate,kt sessions,rpa tutorial,power automate desktop,power automate complete course,ui ...</t>
        </is>
      </c>
      <c r="M60" t="inlineStr">
        <is>
          <t xml:space="preserve">power automate desktop full course ; power automate tutorial in hindi ; power automate full course hindi ; power automate desktop hindi ; power automate project hindi ; power automate hindi ; power automate desktop bangla ; power automate in hindi</t>
        </is>
      </c>
    </row>
    <row r="61">
      <c r="A61" s="3">
        <v>60</v>
      </c>
      <c r="B61" t="inlineStr">
        <is>
          <t xml:space="preserve">Video</t>
        </is>
      </c>
      <c r="C61" t="inlineStr">
        <is>
          <t xml:space="preserve">Hindi</t>
        </is>
      </c>
      <c r="D61" t="inlineStr">
        <is>
          <t xml:space="preserve">Course</t>
        </is>
      </c>
      <c r="E61" t="inlineStr">
        <is>
          <t xml:space="preserve"/>
        </is>
      </c>
      <c r="F61" t="inlineStr">
        <is>
          <t xml:space="preserve">What is Power Automate? | Power Automate Tutorial in English</t>
        </is>
      </c>
      <c r="G61" t="inlineStr">
        <is>
          <t xml:space="preserve">KnowHow Academy Hindi</t>
        </is>
      </c>
      <c r="H61" s="3">
        <v>3001</v>
      </c>
      <c r="I61" t="inlineStr">
        <is>
          <t xml:space="preserve">2y ago</t>
        </is>
      </c>
      <c r="J61" t="inlineStr">
        <is>
          <t xml:space="preserve">17:20</t>
        </is>
      </c>
      <c r="K61" s="2" t="str">
        <f>HYPERLINK("https://www.youtube.com/watch?v=MWDdMxZJW0w","https://www.youtube.com/watch?v=MWDdMxZJW0w")</f>
        <v>https://www.youtube.com/watch?v=MWDdMxZJW0w</v>
      </c>
      <c r="L61" t="inlineStr">
        <is>
          <t xml:space="preserve">Welcome to the Power Automate tutorial series in Hindi! In this comprehensive playlist, you will learn everything you need to ...</t>
        </is>
      </c>
      <c r="M61" t="inlineStr">
        <is>
          <t xml:space="preserve">power automate tutorial in hindi ; power automate desktop hindi ; power automate hindi ; power automate in hindi</t>
        </is>
      </c>
    </row>
    <row r="62">
      <c r="A62" s="3">
        <v>61</v>
      </c>
      <c r="B62" t="inlineStr">
        <is>
          <t xml:space="preserve">Playlist</t>
        </is>
      </c>
      <c r="C62" t="inlineStr">
        <is>
          <t xml:space="preserve">Hindi</t>
        </is>
      </c>
      <c r="D62" t="inlineStr">
        <is>
          <t xml:space="preserve">Course</t>
        </is>
      </c>
      <c r="E62" t="inlineStr">
        <is>
          <t xml:space="preserve"/>
        </is>
      </c>
      <c r="F62" t="inlineStr">
        <is>
          <t xml:space="preserve">Power Automate-Hindi</t>
        </is>
      </c>
      <c r="G62" t="inlineStr">
        <is>
          <t xml:space="preserve">Lotusamaze</t>
        </is>
      </c>
      <c r="H62" t="inlineStr">
        <is>
          <t xml:space="preserve"/>
        </is>
      </c>
      <c r="I62" t="inlineStr">
        <is>
          <t xml:space="preserve"/>
        </is>
      </c>
      <c r="J62" t="inlineStr">
        <is>
          <t xml:space="preserve">12 videos</t>
        </is>
      </c>
      <c r="K62" s="2" t="str">
        <f>HYPERLINK("https://www.youtube.com/playlist?list=PLKpO3lQqxJ6YTQJMeeqJHUiJtNk8cGTLg","https://www.youtube.com/playlist?list=PLKpO3lQqxJ6YTQJMeeqJHUiJtNk8cGTLg")</f>
        <v>https://www.youtube.com/playlist?list=PLKpO3lQqxJ6YTQJMeeqJHUiJtNk8cGTLg</v>
      </c>
      <c r="L62" t="inlineStr">
        <is>
          <t xml:space="preserve">Playlist | Microsoft Power Automate - Introduction | Hindi · 6:19 | MS Power Automate | Glossary | Commonly Used Terms | hindi · 5:54 | View full playlist | Power Automate tutorial playlist in hindi covers all topics of power automate with examples and diagram.</t>
        </is>
      </c>
      <c r="M62" t="inlineStr">
        <is>
          <t xml:space="preserve">power automate full course ; power automate desktop full course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63">
      <c r="A63" s="3">
        <v>62</v>
      </c>
      <c r="B63" t="inlineStr">
        <is>
          <t xml:space="preserve">Playlist</t>
        </is>
      </c>
      <c r="C63" t="inlineStr">
        <is>
          <t xml:space="preserve">Hindi</t>
        </is>
      </c>
      <c r="D63" t="inlineStr">
        <is>
          <t xml:space="preserve">Course</t>
        </is>
      </c>
      <c r="E63" t="inlineStr">
        <is>
          <t xml:space="preserve">SharePoint, Excel</t>
        </is>
      </c>
      <c r="F63" t="inlineStr">
        <is>
          <t xml:space="preserve">MS Power Automate Tutorial for Beginners In Hindi</t>
        </is>
      </c>
      <c r="G63" t="inlineStr">
        <is>
          <t xml:space="preserve">Technical Knowledge Beta</t>
        </is>
      </c>
      <c r="H63" t="inlineStr">
        <is>
          <t xml:space="preserve"/>
        </is>
      </c>
      <c r="I63" t="inlineStr">
        <is>
          <t xml:space="preserve"/>
        </is>
      </c>
      <c r="J63" t="inlineStr">
        <is>
          <t xml:space="preserve">25 videos</t>
        </is>
      </c>
      <c r="K63" s="2" t="str">
        <f>HYPERLINK("https://www.youtube.com/playlist?list=PLTfRAJIKuTE3px_eE3huBt4TRQ6Mv8-nS","https://www.youtube.com/playlist?list=PLTfRAJIKuTE3px_eE3huBt4TRQ6Mv8-nS")</f>
        <v>https://www.youtube.com/playlist?list=PLTfRAJIKuTE3px_eE3huBt4TRQ6Mv8-nS</v>
      </c>
      <c r="L63" t="inlineStr">
        <is>
          <t xml:space="preserve">Playlist | MS Power Automate Tutorial for beginners in Hindi | · 11:13 | A MS Flow to automatically update SharePoint List using excel in Hindi · 32:53 | View full playlist</t>
        </is>
      </c>
      <c r="M63" t="inlineStr">
        <is>
          <t xml:space="preserve">power automate full course ; power automate tutorial for beginners ; power automate desktop full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64">
      <c r="A64" s="3">
        <v>63</v>
      </c>
      <c r="B64" t="inlineStr">
        <is>
          <t xml:space="preserve">Playlist</t>
        </is>
      </c>
      <c r="C64" t="inlineStr">
        <is>
          <t xml:space="preserve">Hindi</t>
        </is>
      </c>
      <c r="D64" t="inlineStr">
        <is>
          <t xml:space="preserve">Course</t>
        </is>
      </c>
      <c r="E64" t="inlineStr">
        <is>
          <t xml:space="preserve">Desktop/RPA</t>
        </is>
      </c>
      <c r="F64" t="inlineStr">
        <is>
          <t xml:space="preserve">Power automate desktop in Hindi</t>
        </is>
      </c>
      <c r="G64" t="inlineStr">
        <is>
          <t xml:space="preserve">Automation only</t>
        </is>
      </c>
      <c r="H64" t="inlineStr">
        <is>
          <t xml:space="preserve"/>
        </is>
      </c>
      <c r="I64" t="inlineStr">
        <is>
          <t xml:space="preserve"/>
        </is>
      </c>
      <c r="J64" t="inlineStr">
        <is>
          <t xml:space="preserve">20 videos</t>
        </is>
      </c>
      <c r="K64" s="2" t="str">
        <f>HYPERLINK("https://www.youtube.com/playlist?list=PLxkWQlJUD4AK4HZcptIUWVnzJFq-fobCE","https://www.youtube.com/playlist?list=PLxkWQlJUD4AK4HZcptIUWVnzJFq-fobCE")</f>
        <v>https://www.youtube.com/playlist?list=PLxkWQlJUD4AK4HZcptIUWVnzJFq-fobCE</v>
      </c>
      <c r="L64" t="inlineStr">
        <is>
          <t xml:space="preserve">Playlist | Power Automate Desktop (Hindi):Using Set Variable to create Data Table · 2:27 | Power Automate Desktop: How to use Convert Text to number Action · 11:25 | View full playlist</t>
        </is>
      </c>
      <c r="M64" t="inlineStr">
        <is>
          <t xml:space="preserve">power automate desktop ; power automate tutorial in hindi ; power automate desktop hindi ; power automate project hindi ; power automate hindi ; power automate in hindi</t>
        </is>
      </c>
    </row>
    <row r="65">
      <c r="A65" s="3">
        <v>64</v>
      </c>
      <c r="B65" t="inlineStr">
        <is>
          <t xml:space="preserve">Playlist</t>
        </is>
      </c>
      <c r="C65" t="inlineStr">
        <is>
          <t xml:space="preserve">Hindi</t>
        </is>
      </c>
      <c r="D65" t="inlineStr">
        <is>
          <t xml:space="preserve">Course</t>
        </is>
      </c>
      <c r="E65" t="inlineStr">
        <is>
          <t xml:space="preserve">Email/Outlook, Teams, AI/Copilot, Power Apps, Forms</t>
        </is>
      </c>
      <c r="F65" t="inlineStr">
        <is>
          <t xml:space="preserve">Power Automate Hindi | Power Automate Full Tutorial Hindi</t>
        </is>
      </c>
      <c r="G65" t="inlineStr">
        <is>
          <t xml:space="preserve">KnowHow Academy Hindi</t>
        </is>
      </c>
      <c r="H65" t="inlineStr">
        <is>
          <t xml:space="preserve"/>
        </is>
      </c>
      <c r="I65" t="inlineStr">
        <is>
          <t xml:space="preserve"/>
        </is>
      </c>
      <c r="J65" t="inlineStr">
        <is>
          <t xml:space="preserve">18 videos</t>
        </is>
      </c>
      <c r="K65" s="2" t="str">
        <f>HYPERLINK("https://www.youtube.com/playlist?list=PLqgXpspN6iFGQdFAeVTF5-uCq1oFcACU9","https://www.youtube.com/playlist?list=PLqgXpspN6iFGQdFAeVTF5-uCq1oFcACU9")</f>
        <v>https://www.youtube.com/playlist?list=PLqgXpspN6iFGQdFAeVTF5-uCq1oFcACU9</v>
      </c>
      <c r="L65" t="inlineStr">
        <is>
          <t xml:space="preserve">Playlist | Automate Invoices &amp; Collect Payments INSTANTLY with DocuSign + Power Automate (No-Code) · 10:02 | How to Automate HR Leave Requests in Microsoft Teams | Power Automate + Copilot Studio · 24:23 | View full playlist | Welcome to our Power Automate Hindi playlist, designed to take you from B</t>
        </is>
      </c>
      <c r="M65" t="inlineStr">
        <is>
          <t xml:space="preserve">power automate tutorial in hindi ; power automate full course hindi ; power automate desktop hindi ; power automate project hindi ; power automate hindi ; power automate in hindi</t>
        </is>
      </c>
    </row>
    <row r="66">
      <c r="A66" s="3">
        <v>65</v>
      </c>
      <c r="B66" t="inlineStr">
        <is>
          <t xml:space="preserve">Playlist</t>
        </is>
      </c>
      <c r="C66" t="inlineStr">
        <is>
          <t xml:space="preserve">Hindi</t>
        </is>
      </c>
      <c r="D66" t="inlineStr">
        <is>
          <t xml:space="preserve">Course</t>
        </is>
      </c>
      <c r="E66" t="inlineStr">
        <is>
          <t xml:space="preserve"/>
        </is>
      </c>
      <c r="F66" t="inlineStr">
        <is>
          <t xml:space="preserve">Power Automate (Hindi) - January 2026</t>
        </is>
      </c>
      <c r="G66" t="inlineStr">
        <is>
          <t xml:space="preserve">Rohit Tyagi RKT</t>
        </is>
      </c>
      <c r="H66" t="inlineStr">
        <is>
          <t xml:space="preserve"/>
        </is>
      </c>
      <c r="I66" t="inlineStr">
        <is>
          <t xml:space="preserve"/>
        </is>
      </c>
      <c r="J66" t="inlineStr">
        <is>
          <t xml:space="preserve">16 videos</t>
        </is>
      </c>
      <c r="K66" s="2" t="str">
        <f>HYPERLINK("https://www.youtube.com/playlist?list=PLCNV2ZC6lH1ikqDK1nAfBpnHIzx_1FuHI","https://www.youtube.com/playlist?list=PLCNV2ZC6lH1ikqDK1nAfBpnHIzx_1FuHI")</f>
        <v>https://www.youtube.com/playlist?list=PLCNV2ZC6lH1ikqDK1nAfBpnHIzx_1FuHI</v>
      </c>
      <c r="L66" t="inlineStr">
        <is>
          <t xml:space="preserve">Playlist | Power Automate Basic Full Jan 2026 · 6:15:20 | PAT 14 :- DATA OPERATION &amp; variables · 1:00:36 | View full playlist</t>
        </is>
      </c>
      <c r="M66" t="inlineStr">
        <is>
          <t xml:space="preserve">power automate tutorial in hindi ; power automate full course hindi ; power automate desktop hindi ; power automate project hindi ; power automate hindi ; power automate in hindi</t>
        </is>
      </c>
    </row>
    <row r="67">
      <c r="A67" s="3">
        <v>66</v>
      </c>
      <c r="B67" t="inlineStr">
        <is>
          <t xml:space="preserve">Playlist</t>
        </is>
      </c>
      <c r="C67" t="inlineStr">
        <is>
          <t xml:space="preserve">Hindi</t>
        </is>
      </c>
      <c r="D67" t="inlineStr">
        <is>
          <t xml:space="preserve">Course</t>
        </is>
      </c>
      <c r="E67" t="inlineStr">
        <is>
          <t xml:space="preserve">SharePoint, Excel</t>
        </is>
      </c>
      <c r="F67" t="inlineStr">
        <is>
          <t xml:space="preserve">Power Automate Tutorial For Beginners</t>
        </is>
      </c>
      <c r="G67" t="inlineStr">
        <is>
          <t xml:space="preserve">Technical Smahajan</t>
        </is>
      </c>
      <c r="H67" t="inlineStr">
        <is>
          <t xml:space="preserve"/>
        </is>
      </c>
      <c r="I67" t="inlineStr">
        <is>
          <t xml:space="preserve"/>
        </is>
      </c>
      <c r="J67" t="inlineStr">
        <is>
          <t xml:space="preserve">6 videos</t>
        </is>
      </c>
      <c r="K67" s="2" t="str">
        <f>HYPERLINK("https://www.youtube.com/playlist?list=PLQGxFvzUq0au99Ok_L3tI-33E_V23cTiN","https://www.youtube.com/playlist?list=PLQGxFvzUq0au99Ok_L3tI-33E_V23cTiN")</f>
        <v>https://www.youtube.com/playlist?list=PLQGxFvzUq0au99Ok_L3tI-33E_V23cTiN</v>
      </c>
      <c r="L67" t="inlineStr">
        <is>
          <t xml:space="preserve">Playlist | Power Automate Tutorial For Beginners | In Hindi · 8:24 | How to Import Excel Data to SharePoint List using Power Automate | Hindi · 8:01 | View full playlist | This is power automate series for beginners. In this series we will discus on work flow. How to create work flow step by step.</t>
        </is>
      </c>
      <c r="M67" t="inlineStr">
        <is>
          <t xml:space="preserve">power automate hindi</t>
        </is>
      </c>
    </row>
  </sheetData>
  <autoFilter ref="A1:M6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5" customWidth="1"/>
    <col min="2" max="2" width="9" customWidth="1"/>
    <col min="3" max="3" width="10" customWidth="1"/>
    <col min="4" max="4" width="18" customWidth="1"/>
    <col min="5" max="5" width="24" customWidth="1"/>
    <col min="6" max="6" width="60" customWidth="1"/>
    <col min="7" max="7" width="26" customWidth="1"/>
    <col min="8" max="8" width="12" customWidth="1"/>
    <col min="9" max="9" width="16" customWidth="1"/>
    <col min="10" max="10" width="14" customWidth="1"/>
    <col min="11" max="11" width="48" customWidth="1"/>
    <col min="12" max="12" width="70" customWidth="1"/>
    <col min="13" max="13" width="40" customWidth="1"/>
  </cols>
  <sheetData>
    <row r="1">
      <c r="A1" s="1" t="inlineStr">
        <is>
          <t>#</t>
        </is>
      </c>
      <c r="B1" s="1" t="inlineStr">
        <is>
          <t>Type</t>
        </is>
      </c>
      <c r="C1" s="1" t="inlineStr">
        <is>
          <t>Language</t>
        </is>
      </c>
      <c r="D1" s="1" t="inlineStr">
        <is>
          <t>Category</t>
        </is>
      </c>
      <c r="E1" s="1" t="inlineStr">
        <is>
          <t>Topic Areas</t>
        </is>
      </c>
      <c r="F1" s="1" t="inlineStr">
        <is>
          <t>Title</t>
        </is>
      </c>
      <c r="G1" s="1" t="inlineStr">
        <is>
          <t>Channel</t>
        </is>
      </c>
      <c r="H1" s="1" t="inlineStr">
        <is>
          <t>Views</t>
        </is>
      </c>
      <c r="I1" s="1" t="inlineStr">
        <is>
          <t>Published</t>
        </is>
      </c>
      <c r="J1" s="1" t="inlineStr">
        <is>
          <t>Duration / Videos</t>
        </is>
      </c>
      <c r="K1" s="1" t="inlineStr">
        <is>
          <t>Link</t>
        </is>
      </c>
      <c r="L1" s="1" t="inlineStr">
        <is>
          <t>Description (snippet)</t>
        </is>
      </c>
      <c r="M1" s="1" t="inlineStr">
        <is>
          <t>Found via search</t>
        </is>
      </c>
    </row>
    <row r="2">
      <c r="A2" s="3">
        <v>1</v>
      </c>
      <c r="B2" t="inlineStr">
        <is>
          <t xml:space="preserve">Video</t>
        </is>
      </c>
      <c r="C2" t="inlineStr">
        <is>
          <t xml:space="preserve">Bangla</t>
        </is>
      </c>
      <c r="D2" t="inlineStr">
        <is>
          <t xml:space="preserve">Project / Use case</t>
        </is>
      </c>
      <c r="E2" t="inlineStr">
        <is>
          <t xml:space="preserve"/>
        </is>
      </c>
      <c r="F2" t="inlineStr">
        <is>
          <t xml:space="preserve">পাওয়ার বিআই সম্পূর্ণ বাংলা টিউটোরিয়াল | সম্পূর্ণ পাওয়ার বিআই টিউটোরিয়াল বাংলায়</t>
        </is>
      </c>
      <c r="G2" t="inlineStr">
        <is>
          <t xml:space="preserve">Rayhan Tanjim</t>
        </is>
      </c>
      <c r="H2" s="3">
        <v>20299</v>
      </c>
      <c r="I2" t="inlineStr">
        <is>
          <t xml:space="preserve">8mo ago</t>
        </is>
      </c>
      <c r="J2" t="inlineStr">
        <is>
          <t xml:space="preserve">18:08</t>
        </is>
      </c>
      <c r="K2" s="2" t="str">
        <f>HYPERLINK("https://www.youtube.com/watch?v=fZQ-OSQ_ZxM","https://www.youtube.com/watch?v=fZQ-OSQ_ZxM")</f>
        <v>https://www.youtube.com/watch?v=fZQ-OSQ_ZxM</v>
      </c>
      <c r="L2" t="inlineStr">
        <is>
          <t xml:space="preserve">Power BI Full Bangla Tutorial | Complete Power BI Tutorial in Bangla ✅ আমার কোর্স সম্পর্কে জানতে Whatsapp করুনঃ +8801515 ...</t>
        </is>
      </c>
      <c r="M2" t="inlineStr">
        <is>
          <t xml:space="preserve">power automate bangla ; microsoft power automate bangla tutorial</t>
        </is>
      </c>
    </row>
    <row r="3">
      <c r="A3" s="3">
        <v>2</v>
      </c>
      <c r="B3" t="inlineStr">
        <is>
          <t xml:space="preserve">Playlist</t>
        </is>
      </c>
      <c r="C3" t="inlineStr">
        <is>
          <t xml:space="preserve">Bangla</t>
        </is>
      </c>
      <c r="D3" t="inlineStr">
        <is>
          <t xml:space="preserve">Project / Use case</t>
        </is>
      </c>
      <c r="E3" t="inlineStr">
        <is>
          <t xml:space="preserve">AI/Copilot</t>
        </is>
      </c>
      <c r="F3" t="inlineStr">
        <is>
          <t xml:space="preserve">AI Automation Full Course Bangla (N8N)</t>
        </is>
      </c>
      <c r="G3" t="inlineStr">
        <is>
          <t xml:space="preserve">Atiqur Siam</t>
        </is>
      </c>
      <c r="H3" t="inlineStr">
        <is>
          <t xml:space="preserve"/>
        </is>
      </c>
      <c r="I3" t="inlineStr">
        <is>
          <t xml:space="preserve"/>
        </is>
      </c>
      <c r="J3" t="inlineStr">
        <is>
          <t xml:space="preserve">40 videos</t>
        </is>
      </c>
      <c r="K3" s="2" t="str">
        <f>HYPERLINK("https://www.youtube.com/playlist?list=PLes_An_ceiEjmWdbwZq4imYAabnh3Etce","https://www.youtube.com/playlist?list=PLes_An_ceiEjmWdbwZq4imYAabnh3Etce")</f>
        <v>https://www.youtube.com/playlist?list=PLes_An_ceiEjmWdbwZq4imYAabnh3Etce</v>
      </c>
      <c r="L3" t="inlineStr">
        <is>
          <t xml:space="preserve">Playlist | Why You Need to Learn n8n in 2026 | Complete Automation Bangla Tutorial · 4:16 | Learn AI Agents &amp; Workflow in 2026 | সহজভাবে শিখুন AI System (Part 1) · 2:42 | View full playlist | AI Automation Course Bangla for Beginners | শূন্য থেকে বাস্তব স্কিল শেখার সম্পূর্ণ গাইড আপনি কি AI Automatio</t>
        </is>
      </c>
      <c r="M3" t="inlineStr">
        <is>
          <t xml:space="preserve">power automate tutorial bangla ; power automate bangla</t>
        </is>
      </c>
    </row>
    <row r="4">
      <c r="A4" s="3">
        <v>3</v>
      </c>
      <c r="B4" t="inlineStr">
        <is>
          <t xml:space="preserve">Video</t>
        </is>
      </c>
      <c r="C4" t="inlineStr">
        <is>
          <t xml:space="preserve">English</t>
        </is>
      </c>
      <c r="D4" t="inlineStr">
        <is>
          <t xml:space="preserve">Project / Use case</t>
        </is>
      </c>
      <c r="E4" t="inlineStr">
        <is>
          <t xml:space="preserve">SharePoint, Approvals</t>
        </is>
      </c>
      <c r="F4" t="inlineStr">
        <is>
          <t xml:space="preserve">How to build Power Automate Approval Workflows for SharePoint | Step by Step Tutorial</t>
        </is>
      </c>
      <c r="G4" t="inlineStr">
        <is>
          <t xml:space="preserve">Reza Dorrani</t>
        </is>
      </c>
      <c r="H4" s="3">
        <v>405869</v>
      </c>
      <c r="I4" t="inlineStr">
        <is>
          <t xml:space="preserve">3y ago</t>
        </is>
      </c>
      <c r="J4" t="inlineStr">
        <is>
          <t xml:space="preserve">21:58</t>
        </is>
      </c>
      <c r="K4" s="2" t="str">
        <f>HYPERLINK("https://www.youtube.com/watch?v=tiLyIL6Q2Wk","https://www.youtube.com/watch?v=tiLyIL6Q2Wk")</f>
        <v>https://www.youtube.com/watch?v=tiLyIL6Q2Wk</v>
      </c>
      <c r="L4" t="inlineStr">
        <is>
          <t xml:space="preserve">Step by Step Power Automate Approval tutorial video that covers how to build Approval flows for SharePoint lists, dynamically ...</t>
        </is>
      </c>
      <c r="M4" t="inlineStr">
        <is>
          <t xml:space="preserve">power automate approval workflow ; power automate sharepoint automation</t>
        </is>
      </c>
    </row>
    <row r="5">
      <c r="A5" s="3">
        <v>4</v>
      </c>
      <c r="B5" t="inlineStr">
        <is>
          <t xml:space="preserve">Video</t>
        </is>
      </c>
      <c r="C5" t="inlineStr">
        <is>
          <t xml:space="preserve">English</t>
        </is>
      </c>
      <c r="D5" t="inlineStr">
        <is>
          <t xml:space="preserve">Project / Use case</t>
        </is>
      </c>
      <c r="E5" t="inlineStr">
        <is>
          <t xml:space="preserve">Approvals</t>
        </is>
      </c>
      <c r="F5" t="inlineStr">
        <is>
          <t xml:space="preserve">Power Automate Multi Level Approval Workflow | Serial Approval | Multiple Approvers</t>
        </is>
      </c>
      <c r="G5" t="inlineStr">
        <is>
          <t xml:space="preserve">Reza Dorrani</t>
        </is>
      </c>
      <c r="H5" s="3">
        <v>372022</v>
      </c>
      <c r="I5" t="inlineStr">
        <is>
          <t xml:space="preserve">5y ago</t>
        </is>
      </c>
      <c r="J5" t="inlineStr">
        <is>
          <t xml:space="preserve">17:49</t>
        </is>
      </c>
      <c r="K5" s="2" t="str">
        <f>HYPERLINK("https://www.youtube.com/watch?v=gb_FUeRjgg4","https://www.youtube.com/watch?v=gb_FUeRjgg4")</f>
        <v>https://www.youtube.com/watch?v=gb_FUeRjgg4</v>
      </c>
      <c r="L5" t="inlineStr">
        <is>
          <t xml:space="preserve">In this tutorial video, I will show how to build Multi-Step Approvals in Power Automate. We will build a multi-level / serial approval ...</t>
        </is>
      </c>
      <c r="M5" t="inlineStr">
        <is>
          <t xml:space="preserve">power automate approval workflow</t>
        </is>
      </c>
    </row>
    <row r="6">
      <c r="A6" s="3">
        <v>5</v>
      </c>
      <c r="B6" t="inlineStr">
        <is>
          <t xml:space="preserve">Video</t>
        </is>
      </c>
      <c r="C6" t="inlineStr">
        <is>
          <t xml:space="preserve">English</t>
        </is>
      </c>
      <c r="D6" t="inlineStr">
        <is>
          <t xml:space="preserve">Project / Use case</t>
        </is>
      </c>
      <c r="E6" t="inlineStr">
        <is>
          <t xml:space="preserve">Power Apps, Dataverse</t>
        </is>
      </c>
      <c r="F6" t="inlineStr">
        <is>
          <t xml:space="preserve">Complete Project with Power BI, Power Apps, Power Automate and Dataverse</t>
        </is>
      </c>
      <c r="G6" t="inlineStr">
        <is>
          <t xml:space="preserve">How to Power BI</t>
        </is>
      </c>
      <c r="H6" s="3">
        <v>198777</v>
      </c>
      <c r="I6" t="inlineStr">
        <is>
          <t xml:space="preserve">2y ago</t>
        </is>
      </c>
      <c r="J6" t="inlineStr">
        <is>
          <t xml:space="preserve">1:12:45</t>
        </is>
      </c>
      <c r="K6" s="2" t="str">
        <f>HYPERLINK("https://www.youtube.com/watch?v=5Ohp79PLlM8","https://www.youtube.com/watch?v=5Ohp79PLlM8")</f>
        <v>https://www.youtube.com/watch?v=5Ohp79PLlM8</v>
      </c>
      <c r="L6" t="inlineStr">
        <is>
          <t xml:space="preserve">Join my Power BI Design training here: https://my.datatraining.io/pages/powerbidesigntransformation Learn how to work with ...</t>
        </is>
      </c>
      <c r="M6" t="inlineStr">
        <is>
          <t xml:space="preserve">power automate project ; power apps power automate project</t>
        </is>
      </c>
    </row>
    <row r="7">
      <c r="A7" s="3">
        <v>6</v>
      </c>
      <c r="B7" t="inlineStr">
        <is>
          <t xml:space="preserve">Video</t>
        </is>
      </c>
      <c r="C7" t="inlineStr">
        <is>
          <t xml:space="preserve">English</t>
        </is>
      </c>
      <c r="D7" t="inlineStr">
        <is>
          <t xml:space="preserve">Project / Use case</t>
        </is>
      </c>
      <c r="E7" t="inlineStr">
        <is>
          <t xml:space="preserve">SharePoint, Approvals</t>
        </is>
      </c>
      <c r="F7" t="inlineStr">
        <is>
          <t xml:space="preserve">Power Automate Document Approval workflow for SharePoint</t>
        </is>
      </c>
      <c r="G7" t="inlineStr">
        <is>
          <t xml:space="preserve">Reza Dorrani</t>
        </is>
      </c>
      <c r="H7" s="3">
        <v>195242</v>
      </c>
      <c r="I7" t="inlineStr">
        <is>
          <t xml:space="preserve">5y ago</t>
        </is>
      </c>
      <c r="J7" t="inlineStr">
        <is>
          <t xml:space="preserve">27:46</t>
        </is>
      </c>
      <c r="K7" s="2" t="str">
        <f>HYPERLINK("https://www.youtube.com/watch?v=NZeJB4dGCq0","https://www.youtube.com/watch?v=NZeJB4dGCq0")</f>
        <v>https://www.youtube.com/watch?v=NZeJB4dGCq0</v>
      </c>
      <c r="L7" t="inlineStr">
        <is>
          <t xml:space="preserve">In this video, you will learn how to build a content approval process workflow for SharePoint document library with Power ...</t>
        </is>
      </c>
      <c r="M7" t="inlineStr">
        <is>
          <t xml:space="preserve">power automate sharepoint automation</t>
        </is>
      </c>
    </row>
    <row r="8">
      <c r="A8" s="3">
        <v>7</v>
      </c>
      <c r="B8" t="inlineStr">
        <is>
          <t xml:space="preserve">Video</t>
        </is>
      </c>
      <c r="C8" t="inlineStr">
        <is>
          <t xml:space="preserve">English</t>
        </is>
      </c>
      <c r="D8" t="inlineStr">
        <is>
          <t xml:space="preserve">Project / Use case</t>
        </is>
      </c>
      <c r="E8" t="inlineStr">
        <is>
          <t xml:space="preserve">AI/Copilot</t>
        </is>
      </c>
      <c r="F8" t="inlineStr">
        <is>
          <t xml:space="preserve">Power Automate Copilot - Build a flow by describing it</t>
        </is>
      </c>
      <c r="G8" t="inlineStr">
        <is>
          <t xml:space="preserve">Microsoft Power Platform</t>
        </is>
      </c>
      <c r="H8" s="3">
        <v>143058</v>
      </c>
      <c r="I8" t="inlineStr">
        <is>
          <t xml:space="preserve">3y ago</t>
        </is>
      </c>
      <c r="J8" t="inlineStr">
        <is>
          <t xml:space="preserve">0:52</t>
        </is>
      </c>
      <c r="K8" s="2" t="str">
        <f>HYPERLINK("https://www.youtube.com/watch?v=Qvv2X3DGIDM","https://www.youtube.com/watch?v=Qvv2X3DGIDM")</f>
        <v>https://www.youtube.com/watch?v=Qvv2X3DGIDM</v>
      </c>
      <c r="L8" t="inlineStr">
        <is>
          <t xml:space="preserve">Copilots are everywhere, including Power Automate. Now we can build a flow simply by using natural language to tell it what we ...</t>
        </is>
      </c>
      <c r="M8" t="inlineStr">
        <is>
          <t xml:space="preserve">power automate cloud flow tutorial</t>
        </is>
      </c>
    </row>
    <row r="9">
      <c r="A9" s="3">
        <v>8</v>
      </c>
      <c r="B9" t="inlineStr">
        <is>
          <t xml:space="preserve">Video</t>
        </is>
      </c>
      <c r="C9" t="inlineStr">
        <is>
          <t xml:space="preserve">English</t>
        </is>
      </c>
      <c r="D9" t="inlineStr">
        <is>
          <t xml:space="preserve">Project / Use case</t>
        </is>
      </c>
      <c r="E9" t="inlineStr">
        <is>
          <t xml:space="preserve">Desktop/RPA, Web automation</t>
        </is>
      </c>
      <c r="F9" t="inlineStr">
        <is>
          <t xml:space="preserve">Get Started with Power Automate Desktop: Tutorial for Beginners (2026)</t>
        </is>
      </c>
      <c r="G9" t="inlineStr">
        <is>
          <t xml:space="preserve">Anders Jensen</t>
        </is>
      </c>
      <c r="H9" s="3">
        <v>109008</v>
      </c>
      <c r="I9" t="inlineStr">
        <is>
          <t xml:space="preserve">1y ago</t>
        </is>
      </c>
      <c r="J9" t="inlineStr">
        <is>
          <t xml:space="preserve">1:04:19</t>
        </is>
      </c>
      <c r="K9" s="2" t="str">
        <f>HYPERLINK("https://www.youtube.com/watch?v=fZiNq7OQQ6s","https://www.youtube.com/watch?v=fZiNq7OQQ6s")</f>
        <v>https://www.youtube.com/watch?v=fZiNq7OQQ6s</v>
      </c>
      <c r="L9" t="inlineStr">
        <is>
          <t xml:space="preserve">Get started with Power Automate Desktop in this beginner tutorial: Build a complete RPA flow that logs in to a website, searches ...</t>
        </is>
      </c>
      <c r="M9" t="inlineStr">
        <is>
          <t xml:space="preserve">power automate tutorial for beginners ; power automate desktop full course ; power automate desktop project</t>
        </is>
      </c>
    </row>
    <row r="10">
      <c r="A10" s="3">
        <v>9</v>
      </c>
      <c r="B10" t="inlineStr">
        <is>
          <t xml:space="preserve">Video</t>
        </is>
      </c>
      <c r="C10" t="inlineStr">
        <is>
          <t xml:space="preserve">English</t>
        </is>
      </c>
      <c r="D10" t="inlineStr">
        <is>
          <t xml:space="preserve">Project / Use case</t>
        </is>
      </c>
      <c r="E10" t="inlineStr">
        <is>
          <t xml:space="preserve">Power Apps</t>
        </is>
      </c>
      <c r="F10" t="inlineStr">
        <is>
          <t xml:space="preserve">Connecting Power Apps to Power Automate - How it Works and What to Expect</t>
        </is>
      </c>
      <c r="G10" t="inlineStr">
        <is>
          <t xml:space="preserve">Bulb Digital</t>
        </is>
      </c>
      <c r="H10" s="3">
        <v>75306</v>
      </c>
      <c r="I10" t="inlineStr">
        <is>
          <t xml:space="preserve">4y ago</t>
        </is>
      </c>
      <c r="J10" t="inlineStr">
        <is>
          <t xml:space="preserve">19:34</t>
        </is>
      </c>
      <c r="K10" s="2" t="str">
        <f>HYPERLINK("https://www.youtube.com/watch?v=-hDO9s1zCb0","https://www.youtube.com/watch?v=-hDO9s1zCb0")</f>
        <v>https://www.youtube.com/watch?v=-hDO9s1zCb0</v>
      </c>
      <c r="L10" t="inlineStr">
        <is>
          <t xml:space="preserve">If you're looking to enhance the functionality of your Power App, consider using Power Automate to create flows. Full Blog Writeup: ...</t>
        </is>
      </c>
      <c r="M10" t="inlineStr">
        <is>
          <t xml:space="preserve">power apps power automate project</t>
        </is>
      </c>
    </row>
    <row r="11">
      <c r="A11" s="3">
        <v>10</v>
      </c>
      <c r="B11" t="inlineStr">
        <is>
          <t xml:space="preserve">Video</t>
        </is>
      </c>
      <c r="C11" t="inlineStr">
        <is>
          <t xml:space="preserve">English</t>
        </is>
      </c>
      <c r="D11" t="inlineStr">
        <is>
          <t xml:space="preserve">Project / Use case</t>
        </is>
      </c>
      <c r="E11" t="inlineStr">
        <is>
          <t xml:space="preserve">SharePoint, Power Apps</t>
        </is>
      </c>
      <c r="F11" t="inlineStr">
        <is>
          <t xml:space="preserve">Build Inventory Management System in PowerApps with SharePoint List | Power Platform Project</t>
        </is>
      </c>
      <c r="G11" t="inlineStr">
        <is>
          <t xml:space="preserve">KnowHow Academy</t>
        </is>
      </c>
      <c r="H11" s="3">
        <v>57268</v>
      </c>
      <c r="I11" t="inlineStr">
        <is>
          <t xml:space="preserve">1y ago</t>
        </is>
      </c>
      <c r="J11" t="inlineStr">
        <is>
          <t xml:space="preserve">23:17</t>
        </is>
      </c>
      <c r="K11" s="2" t="str">
        <f>HYPERLINK("https://www.youtube.com/watch?v=ZYmV4flkc1Y","https://www.youtube.com/watch?v=ZYmV4flkc1Y")</f>
        <v>https://www.youtube.com/watch?v=ZYmV4flkc1Y</v>
      </c>
      <c r="L11" t="inlineStr">
        <is>
          <t xml:space="preserve">In this Power Platform Video , you will learn, how to streamline your inventory management process by creating an Inventory ...</t>
        </is>
      </c>
      <c r="M11" t="inlineStr">
        <is>
          <t xml:space="preserve">power apps power automate project</t>
        </is>
      </c>
    </row>
    <row r="12">
      <c r="A12" s="3">
        <v>11</v>
      </c>
      <c r="B12" t="inlineStr">
        <is>
          <t xml:space="preserve">Video</t>
        </is>
      </c>
      <c r="C12" t="inlineStr">
        <is>
          <t xml:space="preserve">English</t>
        </is>
      </c>
      <c r="D12" t="inlineStr">
        <is>
          <t xml:space="preserve">Project / Use case</t>
        </is>
      </c>
      <c r="E12" t="inlineStr">
        <is>
          <t xml:space="preserve">Desktop/RPA</t>
        </is>
      </c>
      <c r="F12" t="inlineStr">
        <is>
          <t xml:space="preserve">Microsoft Power Automate Desktop For Beginners</t>
        </is>
      </c>
      <c r="G12" t="inlineStr">
        <is>
          <t xml:space="preserve">Anders Jensen</t>
        </is>
      </c>
      <c r="H12" s="3">
        <v>56807</v>
      </c>
      <c r="I12" t="inlineStr">
        <is>
          <t xml:space="preserve">4y ago</t>
        </is>
      </c>
      <c r="J12" t="inlineStr">
        <is>
          <t xml:space="preserve">4:30:09</t>
        </is>
      </c>
      <c r="K12" s="2" t="str">
        <f>HYPERLINK("https://www.youtube.com/watch?v=HUq6ZQhOpbk","https://www.youtube.com/watch?v=HUq6ZQhOpbk")</f>
        <v>https://www.youtube.com/watch?v=HUq6ZQhOpbk</v>
      </c>
      <c r="L12" t="inlineStr">
        <is>
          <t xml:space="preserve">This complete Microsoft Power Automate Desktop course for Beginners teaches you how to build RPA with easy use cases.</t>
        </is>
      </c>
      <c r="M12" t="inlineStr">
        <is>
          <t xml:space="preserve">power automate desktop full course</t>
        </is>
      </c>
    </row>
    <row r="13">
      <c r="A13" s="3">
        <v>12</v>
      </c>
      <c r="B13" t="inlineStr">
        <is>
          <t xml:space="preserve">Video</t>
        </is>
      </c>
      <c r="C13" t="inlineStr">
        <is>
          <t xml:space="preserve">English</t>
        </is>
      </c>
      <c r="D13" t="inlineStr">
        <is>
          <t xml:space="preserve">Project / Use case</t>
        </is>
      </c>
      <c r="E13" t="inlineStr">
        <is>
          <t xml:space="preserve">Desktop/RPA, Excel</t>
        </is>
      </c>
      <c r="F13" t="inlineStr">
        <is>
          <t xml:space="preserve">Excel in Power Automate for Desktop (Full Tutorial)</t>
        </is>
      </c>
      <c r="G13" t="inlineStr">
        <is>
          <t xml:space="preserve">Anders Jensen</t>
        </is>
      </c>
      <c r="H13" s="3">
        <v>43397</v>
      </c>
      <c r="I13" t="inlineStr">
        <is>
          <t xml:space="preserve">4y ago</t>
        </is>
      </c>
      <c r="J13" t="inlineStr">
        <is>
          <t xml:space="preserve">28:39</t>
        </is>
      </c>
      <c r="K13" s="2" t="str">
        <f>HYPERLINK("https://www.youtube.com/watch?v=zVvaRCZqZ7E","https://www.youtube.com/watch?v=zVvaRCZqZ7E")</f>
        <v>https://www.youtube.com/watch?v=zVvaRCZqZ7E</v>
      </c>
      <c r="L13" t="inlineStr">
        <is>
          <t xml:space="preserve">This video tutorial shows how to automate Excel with Microsoft Power Automate for desktop. With this full use case, you'll learn all ...</t>
        </is>
      </c>
      <c r="M13" t="inlineStr">
        <is>
          <t xml:space="preserve">power automate excel automation ; power automate desktop</t>
        </is>
      </c>
    </row>
    <row r="14">
      <c r="A14" s="3">
        <v>13</v>
      </c>
      <c r="B14" t="inlineStr">
        <is>
          <t xml:space="preserve">Video</t>
        </is>
      </c>
      <c r="C14" t="inlineStr">
        <is>
          <t xml:space="preserve">English</t>
        </is>
      </c>
      <c r="D14" t="inlineStr">
        <is>
          <t xml:space="preserve">Project / Use case</t>
        </is>
      </c>
      <c r="E14" t="inlineStr">
        <is>
          <t xml:space="preserve">Desktop/RPA, Web automation</t>
        </is>
      </c>
      <c r="F14" t="inlineStr">
        <is>
          <t xml:space="preserve">Power Automate Desktop : Working with (Entire) Web Form Filling Actions - Demo Project (Detailed)</t>
        </is>
      </c>
      <c r="G14" t="inlineStr">
        <is>
          <t xml:space="preserve">Learn RPA &amp; AI Technologies every day</t>
        </is>
      </c>
      <c r="H14" s="3">
        <v>37751</v>
      </c>
      <c r="I14" t="inlineStr">
        <is>
          <t xml:space="preserve">5y ago</t>
        </is>
      </c>
      <c r="J14" t="inlineStr">
        <is>
          <t xml:space="preserve">19:07</t>
        </is>
      </c>
      <c r="K14" s="2" t="str">
        <f>HYPERLINK("https://www.youtube.com/watch?v=6K1qQLp9VH8","https://www.youtube.com/watch?v=6K1qQLp9VH8")</f>
        <v>https://www.youtube.com/watch?v=6K1qQLp9VH8</v>
      </c>
      <c r="L14" t="inlineStr">
        <is>
          <t xml:space="preserve">powerAutomatedesktop #powerAutomate #RPA #Web Automation : How to work with Web Form Filling Actions - Demo project ...</t>
        </is>
      </c>
      <c r="M14" t="inlineStr">
        <is>
          <t xml:space="preserve">power automate desktop project</t>
        </is>
      </c>
    </row>
    <row r="15">
      <c r="A15" s="3">
        <v>14</v>
      </c>
      <c r="B15" t="inlineStr">
        <is>
          <t xml:space="preserve">Video</t>
        </is>
      </c>
      <c r="C15" t="inlineStr">
        <is>
          <t xml:space="preserve">English</t>
        </is>
      </c>
      <c r="D15" t="inlineStr">
        <is>
          <t xml:space="preserve">Project / Use case</t>
        </is>
      </c>
      <c r="E15" t="inlineStr">
        <is>
          <t xml:space="preserve">Desktop/RPA</t>
        </is>
      </c>
      <c r="F15" t="inlineStr">
        <is>
          <t xml:space="preserve">Power Automate Desktop || Project #1 : HR Usecase  - Employee Onboarding Process - Part 1</t>
        </is>
      </c>
      <c r="G15" t="inlineStr">
        <is>
          <t xml:space="preserve">Learn RPA &amp; AI Technologies every day</t>
        </is>
      </c>
      <c r="H15" s="3">
        <v>37403</v>
      </c>
      <c r="I15" t="inlineStr">
        <is>
          <t xml:space="preserve">4y ago</t>
        </is>
      </c>
      <c r="J15" t="inlineStr">
        <is>
          <t xml:space="preserve">12:37</t>
        </is>
      </c>
      <c r="K15" s="2" t="str">
        <f>HYPERLINK("https://www.youtube.com/watch?v=Fw-_cSNcuqw","https://www.youtube.com/watch?v=Fw-_cSNcuqw")</f>
        <v>https://www.youtube.com/watch?v=Fw-_cSNcuqw</v>
      </c>
      <c r="L15" t="inlineStr">
        <is>
          <t xml:space="preserve">MicrosoftPowerAutomate #MicrosoftPowerAutomateDesktop #powerAutomatedesktop #powerAutomate #RPA #Microsoft ...</t>
        </is>
      </c>
      <c r="M15" t="inlineStr">
        <is>
          <t xml:space="preserve">power automate desktop project</t>
        </is>
      </c>
    </row>
    <row r="16">
      <c r="A16" s="3">
        <v>15</v>
      </c>
      <c r="B16" t="inlineStr">
        <is>
          <t xml:space="preserve">Video</t>
        </is>
      </c>
      <c r="C16" t="inlineStr">
        <is>
          <t xml:space="preserve">English</t>
        </is>
      </c>
      <c r="D16" t="inlineStr">
        <is>
          <t xml:space="preserve">Project / Use case</t>
        </is>
      </c>
      <c r="E16" t="inlineStr">
        <is>
          <t xml:space="preserve">Approvals</t>
        </is>
      </c>
      <c r="F16" t="inlineStr">
        <is>
          <t xml:space="preserve">How to Build Power Automate Approval Workflow for Beginners</t>
        </is>
      </c>
      <c r="G16" t="inlineStr">
        <is>
          <t xml:space="preserve">Heather Majors</t>
        </is>
      </c>
      <c r="H16" s="3">
        <v>33672</v>
      </c>
      <c r="I16" t="inlineStr">
        <is>
          <t xml:space="preserve">4y ago</t>
        </is>
      </c>
      <c r="J16" t="inlineStr">
        <is>
          <t xml:space="preserve">8:51</t>
        </is>
      </c>
      <c r="K16" s="2" t="str">
        <f>HYPERLINK("https://www.youtube.com/watch?v=8-kl3DnPDBs","https://www.youtube.com/watch?v=8-kl3DnPDBs")</f>
        <v>https://www.youtube.com/watch?v=8-kl3DnPDBs</v>
      </c>
      <c r="L16" t="inlineStr">
        <is>
          <t xml:space="preserve">Microsoft has made some updates to Power Automate since this video was originally created. To see an updated case study go ...</t>
        </is>
      </c>
      <c r="M16" t="inlineStr">
        <is>
          <t xml:space="preserve">power automate approval workflow</t>
        </is>
      </c>
    </row>
    <row r="17">
      <c r="A17" s="3">
        <v>16</v>
      </c>
      <c r="B17" t="inlineStr">
        <is>
          <t xml:space="preserve">Video</t>
        </is>
      </c>
      <c r="C17" t="inlineStr">
        <is>
          <t xml:space="preserve">English</t>
        </is>
      </c>
      <c r="D17" t="inlineStr">
        <is>
          <t xml:space="preserve">Project / Use case</t>
        </is>
      </c>
      <c r="E17" t="inlineStr">
        <is>
          <t xml:space="preserve">SharePoint</t>
        </is>
      </c>
      <c r="F17" t="inlineStr">
        <is>
          <t xml:space="preserve">Power Automate: The Best SharePoint Workflows</t>
        </is>
      </c>
      <c r="G17" t="inlineStr">
        <is>
          <t xml:space="preserve">SharePoint Dougie</t>
        </is>
      </c>
      <c r="H17" s="3">
        <v>31179</v>
      </c>
      <c r="I17" t="inlineStr">
        <is>
          <t xml:space="preserve">2y ago</t>
        </is>
      </c>
      <c r="J17" t="inlineStr">
        <is>
          <t xml:space="preserve">12:26</t>
        </is>
      </c>
      <c r="K17" s="2" t="str">
        <f>HYPERLINK("https://www.youtube.com/watch?v=DyvsYJVH56U","https://www.youtube.com/watch?v=DyvsYJVH56U")</f>
        <v>https://www.youtube.com/watch?v=DyvsYJVH56U</v>
      </c>
      <c r="L17" t="inlineStr">
        <is>
          <t xml:space="preserve">Discover my top 5 SharePoint workflow in Power Automate with real world examples. Need a Consultant? Contact ...</t>
        </is>
      </c>
      <c r="M17" t="inlineStr">
        <is>
          <t xml:space="preserve">power automate sharepoint automation</t>
        </is>
      </c>
    </row>
    <row r="18">
      <c r="A18" s="3">
        <v>17</v>
      </c>
      <c r="B18" t="inlineStr">
        <is>
          <t xml:space="preserve">Video</t>
        </is>
      </c>
      <c r="C18" t="inlineStr">
        <is>
          <t xml:space="preserve">English</t>
        </is>
      </c>
      <c r="D18" t="inlineStr">
        <is>
          <t xml:space="preserve">Project / Use case</t>
        </is>
      </c>
      <c r="E18" t="inlineStr">
        <is>
          <t xml:space="preserve">Desktop/RPA</t>
        </is>
      </c>
      <c r="F18" t="inlineStr">
        <is>
          <t xml:space="preserve">Power Automate Desktop - 5 real life use cases</t>
        </is>
      </c>
      <c r="G18" t="inlineStr">
        <is>
          <t xml:space="preserve">Mathias Kjeldsen</t>
        </is>
      </c>
      <c r="H18" s="3">
        <v>28670</v>
      </c>
      <c r="I18" t="inlineStr">
        <is>
          <t xml:space="preserve">2y ago</t>
        </is>
      </c>
      <c r="J18" t="inlineStr">
        <is>
          <t xml:space="preserve">8:40</t>
        </is>
      </c>
      <c r="K18" s="2" t="str">
        <f>HYPERLINK("https://www.youtube.com/watch?v=3Wu02mycCYQ","https://www.youtube.com/watch?v=3Wu02mycCYQ")</f>
        <v>https://www.youtube.com/watch?v=3Wu02mycCYQ</v>
      </c>
      <c r="L18" t="inlineStr">
        <is>
          <t xml:space="preserve">A bit of a different style video this week. I have gathered a few good use cases if you are wondering what you can use Power ...</t>
        </is>
      </c>
      <c r="M18" t="inlineStr">
        <is>
          <t xml:space="preserve">power automate real world project</t>
        </is>
      </c>
    </row>
    <row r="19">
      <c r="A19" s="3">
        <v>18</v>
      </c>
      <c r="B19" t="inlineStr">
        <is>
          <t xml:space="preserve">Video</t>
        </is>
      </c>
      <c r="C19" t="inlineStr">
        <is>
          <t xml:space="preserve">English</t>
        </is>
      </c>
      <c r="D19" t="inlineStr">
        <is>
          <t xml:space="preserve">Project / Use case</t>
        </is>
      </c>
      <c r="E19" t="inlineStr">
        <is>
          <t xml:space="preserve">Email/Outlook</t>
        </is>
      </c>
      <c r="F19" t="inlineStr">
        <is>
          <t xml:space="preserve">7 Power Automate Data Operations: Complete Power Platform Guide with Real Email &amp; CSV Use Cases</t>
        </is>
      </c>
      <c r="G19" t="inlineStr">
        <is>
          <t xml:space="preserve">DamoBird365</t>
        </is>
      </c>
      <c r="H19" s="3">
        <v>23164</v>
      </c>
      <c r="I19" t="inlineStr">
        <is>
          <t xml:space="preserve">1y ago</t>
        </is>
      </c>
      <c r="J19" t="inlineStr">
        <is>
          <t xml:space="preserve">23:51</t>
        </is>
      </c>
      <c r="K19" s="2" t="str">
        <f>HYPERLINK("https://www.youtube.com/watch?v=YfhaU17Q-Rg","https://www.youtube.com/watch?v=YfhaU17Q-Rg")</f>
        <v>https://www.youtube.com/watch?v=YfhaU17Q-Rg</v>
      </c>
      <c r="L19" t="inlineStr">
        <is>
          <t xml:space="preserve">Struggling to manipulate and transform data in Power Automate? Unlock the full power of data operations in Power Platform with ...</t>
        </is>
      </c>
      <c r="M19" t="inlineStr">
        <is>
          <t xml:space="preserve">power automate real world project</t>
        </is>
      </c>
    </row>
    <row r="20">
      <c r="A20" s="3">
        <v>19</v>
      </c>
      <c r="B20" t="inlineStr">
        <is>
          <t xml:space="preserve">Video</t>
        </is>
      </c>
      <c r="C20" t="inlineStr">
        <is>
          <t xml:space="preserve">English</t>
        </is>
      </c>
      <c r="D20" t="inlineStr">
        <is>
          <t xml:space="preserve">Project / Use case</t>
        </is>
      </c>
      <c r="E20" t="inlineStr">
        <is>
          <t xml:space="preserve">Approvals, Power Apps</t>
        </is>
      </c>
      <c r="F20" t="inlineStr">
        <is>
          <t xml:space="preserve">Power Apps Approval Request Screen + Multi-Step Approval Workflow 🚀</t>
        </is>
      </c>
      <c r="G20" t="inlineStr">
        <is>
          <t xml:space="preserve">Reza Dorrani</t>
        </is>
      </c>
      <c r="H20" s="3">
        <v>22865</v>
      </c>
      <c r="I20" t="inlineStr">
        <is>
          <t xml:space="preserve">1mo ago</t>
        </is>
      </c>
      <c r="J20" t="inlineStr">
        <is>
          <t xml:space="preserve">26:13</t>
        </is>
      </c>
      <c r="K20" s="2" t="str">
        <f>HYPERLINK("https://www.youtube.com/watch?v=6oFdLMeaEpw","https://www.youtube.com/watch?v=6oFdLMeaEpw")</f>
        <v>https://www.youtube.com/watch?v=6oFdLMeaEpw</v>
      </c>
      <c r="L20" t="inlineStr">
        <is>
          <t xml:space="preserve">Build a complete multi-step approval solution in Power Apps and Power Automate using the new Approval Request Modern ...</t>
        </is>
      </c>
      <c r="M20" t="inlineStr">
        <is>
          <t xml:space="preserve">power automate approval workflow</t>
        </is>
      </c>
    </row>
    <row r="21">
      <c r="A21" s="3">
        <v>20</v>
      </c>
      <c r="B21" t="inlineStr">
        <is>
          <t xml:space="preserve">Video</t>
        </is>
      </c>
      <c r="C21" t="inlineStr">
        <is>
          <t xml:space="preserve">English</t>
        </is>
      </c>
      <c r="D21" t="inlineStr">
        <is>
          <t xml:space="preserve">Project / Use case</t>
        </is>
      </c>
      <c r="E21" t="inlineStr">
        <is>
          <t xml:space="preserve">AI/Copilot</t>
        </is>
      </c>
      <c r="F21" t="inlineStr">
        <is>
          <t xml:space="preserve">Copilot Agent Flow vs Power Automate | Key Differences, Licensing &amp; When to Use What?</t>
        </is>
      </c>
      <c r="G21" t="inlineStr">
        <is>
          <t xml:space="preserve">Dhruvin Shah</t>
        </is>
      </c>
      <c r="H21" s="3">
        <v>19349</v>
      </c>
      <c r="I21" t="inlineStr">
        <is>
          <t xml:space="preserve">1y ago</t>
        </is>
      </c>
      <c r="J21" t="inlineStr">
        <is>
          <t xml:space="preserve">8:16</t>
        </is>
      </c>
      <c r="K21" s="2" t="str">
        <f>HYPERLINK("https://www.youtube.com/watch?v=0x1eYox5yoE","https://www.youtube.com/watch?v=0x1eYox5yoE")</f>
        <v>https://www.youtube.com/watch?v=0x1eYox5yoE</v>
      </c>
      <c r="L21" t="inlineStr">
        <is>
          <t xml:space="preserve">Copilot Agent Flow vs Power Automate Flow – Which One Should You Use? In this video, I break down the real-world differences ...</t>
        </is>
      </c>
      <c r="M21" t="inlineStr">
        <is>
          <t xml:space="preserve">power automate copilot</t>
        </is>
      </c>
    </row>
    <row r="22">
      <c r="A22" s="3">
        <v>21</v>
      </c>
      <c r="B22" t="inlineStr">
        <is>
          <t xml:space="preserve">Video</t>
        </is>
      </c>
      <c r="C22" t="inlineStr">
        <is>
          <t xml:space="preserve">English</t>
        </is>
      </c>
      <c r="D22" t="inlineStr">
        <is>
          <t xml:space="preserve">Project / Use case</t>
        </is>
      </c>
      <c r="E22" t="inlineStr">
        <is>
          <t xml:space="preserve">Power Apps</t>
        </is>
      </c>
      <c r="F22" t="inlineStr">
        <is>
          <t xml:space="preserve">Power Apps and Power Automate Real World Solution Architecture Guide</t>
        </is>
      </c>
      <c r="G22" t="inlineStr">
        <is>
          <t xml:space="preserve">Microsoft Power Platform</t>
        </is>
      </c>
      <c r="H22" s="3">
        <v>16922</v>
      </c>
      <c r="I22" t="inlineStr">
        <is>
          <t xml:space="preserve">6y ago</t>
        </is>
      </c>
      <c r="J22" t="inlineStr">
        <is>
          <t xml:space="preserve">1:07:52</t>
        </is>
      </c>
      <c r="K22" s="2" t="str">
        <f>HYPERLINK("https://www.youtube.com/watch?v=R8Fp8FdogsI","https://www.youtube.com/watch?v=R8Fp8FdogsI")</f>
        <v>https://www.youtube.com/watch?v=R8Fp8FdogsI</v>
      </c>
      <c r="L22" t="inlineStr">
        <is>
          <t xml:space="preserve">The Power Apps and Automate Architecture Series, presented by Power CAT, will prepare you for upcoming complex Power ...</t>
        </is>
      </c>
      <c r="M22" t="inlineStr">
        <is>
          <t xml:space="preserve">power automate real world project</t>
        </is>
      </c>
    </row>
    <row r="23">
      <c r="A23" s="3">
        <v>22</v>
      </c>
      <c r="B23" t="inlineStr">
        <is>
          <t xml:space="preserve">Video</t>
        </is>
      </c>
      <c r="C23" t="inlineStr">
        <is>
          <t xml:space="preserve">English</t>
        </is>
      </c>
      <c r="D23" t="inlineStr">
        <is>
          <t xml:space="preserve">Project / Use case</t>
        </is>
      </c>
      <c r="E23" t="inlineStr">
        <is>
          <t xml:space="preserve">Email/Outlook, AI/Copilot</t>
        </is>
      </c>
      <c r="F23" t="inlineStr">
        <is>
          <t xml:space="preserve">Complete AI Builder Use Case: Classify Emails in Power Automate</t>
        </is>
      </c>
      <c r="G23" t="inlineStr">
        <is>
          <t xml:space="preserve">Anders Jensen</t>
        </is>
      </c>
      <c r="H23" s="3">
        <v>16859</v>
      </c>
      <c r="I23" t="inlineStr">
        <is>
          <t xml:space="preserve">11mo ago</t>
        </is>
      </c>
      <c r="J23" t="inlineStr">
        <is>
          <t xml:space="preserve">50:11</t>
        </is>
      </c>
      <c r="K23" s="2" t="str">
        <f>HYPERLINK("https://www.youtube.com/watch?v=2mq_cFMvfoY","https://www.youtube.com/watch?v=2mq_cFMvfoY")</f>
        <v>https://www.youtube.com/watch?v=2mq_cFMvfoY</v>
      </c>
      <c r="L23" t="inlineStr">
        <is>
          <t xml:space="preserve">Learn how to build a complete email classification system using AI Builder and Power Automate. This real-world use case shows ...</t>
        </is>
      </c>
      <c r="M23" t="inlineStr">
        <is>
          <t xml:space="preserve">power automate AI builder</t>
        </is>
      </c>
    </row>
    <row r="24">
      <c r="A24" s="3">
        <v>23</v>
      </c>
      <c r="B24" t="inlineStr">
        <is>
          <t xml:space="preserve">Video</t>
        </is>
      </c>
      <c r="C24" t="inlineStr">
        <is>
          <t xml:space="preserve">English</t>
        </is>
      </c>
      <c r="D24" t="inlineStr">
        <is>
          <t xml:space="preserve">Project / Use case</t>
        </is>
      </c>
      <c r="E24" t="inlineStr">
        <is>
          <t xml:space="preserve">Forms</t>
        </is>
      </c>
      <c r="F24" t="inlineStr">
        <is>
          <t xml:space="preserve">Microsoft Power Automate Tutorial -  Flows and Forms in the Real World</t>
        </is>
      </c>
      <c r="G24" t="inlineStr">
        <is>
          <t xml:space="preserve">Jon Levesque</t>
        </is>
      </c>
      <c r="H24" s="3">
        <v>16223</v>
      </c>
      <c r="I24" t="inlineStr">
        <is>
          <t xml:space="preserve">7y ago</t>
        </is>
      </c>
      <c r="J24" t="inlineStr">
        <is>
          <t xml:space="preserve">11:59</t>
        </is>
      </c>
      <c r="K24" s="2" t="str">
        <f>HYPERLINK("https://www.youtube.com/watch?v=AOpm_lVjgmk","https://www.youtube.com/watch?v=AOpm_lVjgmk")</f>
        <v>https://www.youtube.com/watch?v=AOpm_lVjgmk</v>
      </c>
      <c r="L24" t="inlineStr">
        <is>
          <t xml:space="preserve">Whats up friends?! In this weeks video I am showing you how My Fiancee is using Flow to help automate some common tasks for ...</t>
        </is>
      </c>
      <c r="M24" t="inlineStr">
        <is>
          <t xml:space="preserve">power automate real world project</t>
        </is>
      </c>
    </row>
    <row r="25">
      <c r="A25" s="3">
        <v>24</v>
      </c>
      <c r="B25" t="inlineStr">
        <is>
          <t xml:space="preserve">Video</t>
        </is>
      </c>
      <c r="C25" t="inlineStr">
        <is>
          <t xml:space="preserve">English</t>
        </is>
      </c>
      <c r="D25" t="inlineStr">
        <is>
          <t xml:space="preserve">Project / Use case</t>
        </is>
      </c>
      <c r="E25" t="inlineStr">
        <is>
          <t xml:space="preserve">Email/Outlook, AI/Copilot</t>
        </is>
      </c>
      <c r="F25" t="inlineStr">
        <is>
          <t xml:space="preserve">Automatically Categorize Outlook Emails with AI Builder &amp; Power Automate (Complete Tutorial)</t>
        </is>
      </c>
      <c r="G25" t="inlineStr">
        <is>
          <t xml:space="preserve">Technologiate</t>
        </is>
      </c>
      <c r="H25" s="3">
        <v>16137</v>
      </c>
      <c r="I25" t="inlineStr">
        <is>
          <t xml:space="preserve">1y ago</t>
        </is>
      </c>
      <c r="J25" t="inlineStr">
        <is>
          <t xml:space="preserve">10:25</t>
        </is>
      </c>
      <c r="K25" s="2" t="str">
        <f>HYPERLINK("https://www.youtube.com/watch?v=9X5P7tgwTA8","https://www.youtube.com/watch?v=9X5P7tgwTA8")</f>
        <v>https://www.youtube.com/watch?v=9X5P7tgwTA8</v>
      </c>
      <c r="L25" t="inlineStr">
        <is>
          <t xml:space="preserve">This step-by-step tutorial shows you how to build an intelligent AI system that automatically categorizes every email you receive ...</t>
        </is>
      </c>
      <c r="M25" t="inlineStr">
        <is>
          <t xml:space="preserve">power automate email automation outlook</t>
        </is>
      </c>
    </row>
    <row r="26">
      <c r="A26" s="3">
        <v>25</v>
      </c>
      <c r="B26" t="inlineStr">
        <is>
          <t xml:space="preserve">Video</t>
        </is>
      </c>
      <c r="C26" t="inlineStr">
        <is>
          <t xml:space="preserve">English</t>
        </is>
      </c>
      <c r="D26" t="inlineStr">
        <is>
          <t xml:space="preserve">Project / Use case</t>
        </is>
      </c>
      <c r="E26" t="inlineStr">
        <is>
          <t xml:space="preserve">SharePoint, Power Apps</t>
        </is>
      </c>
      <c r="F26" t="inlineStr">
        <is>
          <t xml:space="preserve">I Built a Document Generation System with Power Apps + Power Automate</t>
        </is>
      </c>
      <c r="G26" t="inlineStr">
        <is>
          <t xml:space="preserve">Michael Alex</t>
        </is>
      </c>
      <c r="H26" s="3">
        <v>10374</v>
      </c>
      <c r="I26" t="inlineStr">
        <is>
          <t xml:space="preserve">2w ago</t>
        </is>
      </c>
      <c r="J26" t="inlineStr">
        <is>
          <t xml:space="preserve">29:47</t>
        </is>
      </c>
      <c r="K26" s="2" t="str">
        <f>HYPERLINK("https://www.youtube.com/watch?v=jOWoxvKrtPY","https://www.youtube.com/watch?v=jOWoxvKrtPY")</f>
        <v>https://www.youtube.com/watch?v=jOWoxvKrtPY</v>
      </c>
      <c r="L26" t="inlineStr">
        <is>
          <t xml:space="preserve">In this video, I build a complete Document Generation System using Power Apps, Power Automate, SharePoint, and Microsoft ...</t>
        </is>
      </c>
      <c r="M26" t="inlineStr">
        <is>
          <t xml:space="preserve">power apps power automate project</t>
        </is>
      </c>
    </row>
    <row r="27">
      <c r="A27" s="3">
        <v>26</v>
      </c>
      <c r="B27" t="inlineStr">
        <is>
          <t xml:space="preserve">Video</t>
        </is>
      </c>
      <c r="C27" t="inlineStr">
        <is>
          <t xml:space="preserve">English</t>
        </is>
      </c>
      <c r="D27" t="inlineStr">
        <is>
          <t xml:space="preserve">Project / Use case</t>
        </is>
      </c>
      <c r="E27" t="inlineStr">
        <is>
          <t xml:space="preserve">SharePoint</t>
        </is>
      </c>
      <c r="F27" t="inlineStr">
        <is>
          <t xml:space="preserve">Transform Your Workflow: Build a Clocking-In System with SharePoint and Power Automate!</t>
        </is>
      </c>
      <c r="G27" t="inlineStr">
        <is>
          <t xml:space="preserve">SharePoint Dougie</t>
        </is>
      </c>
      <c r="H27" s="3">
        <v>8367</v>
      </c>
      <c r="I27" t="inlineStr">
        <is>
          <t xml:space="preserve">3y ago</t>
        </is>
      </c>
      <c r="J27" t="inlineStr">
        <is>
          <t xml:space="preserve">17:43</t>
        </is>
      </c>
      <c r="K27" s="2" t="str">
        <f>HYPERLINK("https://www.youtube.com/watch?v=UTq-AXw4ZBE","https://www.youtube.com/watch?v=UTq-AXw4ZBE")</f>
        <v>https://www.youtube.com/watch?v=UTq-AXw4ZBE</v>
      </c>
      <c r="L27" t="inlineStr">
        <is>
          <t xml:space="preserve">How to build a Clocking in System with SharePoint and Power Automate Need a SharePoint consult? Contact me: ...</t>
        </is>
      </c>
      <c r="M27" t="inlineStr">
        <is>
          <t xml:space="preserve">power automate sharepoint automation</t>
        </is>
      </c>
    </row>
    <row r="28">
      <c r="A28" s="3">
        <v>27</v>
      </c>
      <c r="B28" t="inlineStr">
        <is>
          <t xml:space="preserve">Video</t>
        </is>
      </c>
      <c r="C28" t="inlineStr">
        <is>
          <t xml:space="preserve">English</t>
        </is>
      </c>
      <c r="D28" t="inlineStr">
        <is>
          <t xml:space="preserve">Project / Use case</t>
        </is>
      </c>
      <c r="E28" t="inlineStr">
        <is>
          <t xml:space="preserve">Power Apps</t>
        </is>
      </c>
      <c r="F28" t="inlineStr">
        <is>
          <t xml:space="preserve">Create Task Management System in PowerApps | Power Platform Project</t>
        </is>
      </c>
      <c r="G28" t="inlineStr">
        <is>
          <t xml:space="preserve">KnowHow Academy</t>
        </is>
      </c>
      <c r="H28" s="3">
        <v>7660</v>
      </c>
      <c r="I28" t="inlineStr">
        <is>
          <t xml:space="preserve">1y ago</t>
        </is>
      </c>
      <c r="J28" t="inlineStr">
        <is>
          <t xml:space="preserve">13:30</t>
        </is>
      </c>
      <c r="K28" s="2" t="str">
        <f>HYPERLINK("https://www.youtube.com/watch?v=CsaiUin64qE","https://www.youtube.com/watch?v=CsaiUin64qE")</f>
        <v>https://www.youtube.com/watch?v=CsaiUin64qE</v>
      </c>
      <c r="L28" t="inlineStr">
        <is>
          <t xml:space="preserve">In this video, we'll walk you through a step-by-step process to create a powerful and user-friendly Task Management Application ...</t>
        </is>
      </c>
      <c r="M28" t="inlineStr">
        <is>
          <t xml:space="preserve">power apps power automate project</t>
        </is>
      </c>
    </row>
    <row r="29">
      <c r="A29" s="3">
        <v>28</v>
      </c>
      <c r="B29" t="inlineStr">
        <is>
          <t xml:space="preserve">Video</t>
        </is>
      </c>
      <c r="C29" t="inlineStr">
        <is>
          <t xml:space="preserve">English</t>
        </is>
      </c>
      <c r="D29" t="inlineStr">
        <is>
          <t xml:space="preserve">Project / Use case</t>
        </is>
      </c>
      <c r="E29" t="inlineStr">
        <is>
          <t xml:space="preserve">Email/Outlook, AI/Copilot</t>
        </is>
      </c>
      <c r="F29" t="inlineStr">
        <is>
          <t xml:space="preserve">Automatically Organize Outlook Emails into Folders | AI Builder &amp; Power Automate</t>
        </is>
      </c>
      <c r="G29" t="inlineStr">
        <is>
          <t xml:space="preserve">Technologiate</t>
        </is>
      </c>
      <c r="H29" s="3">
        <v>6906</v>
      </c>
      <c r="I29" t="inlineStr">
        <is>
          <t xml:space="preserve">1y ago</t>
        </is>
      </c>
      <c r="J29" t="inlineStr">
        <is>
          <t xml:space="preserve">10:39</t>
        </is>
      </c>
      <c r="K29" s="2" t="str">
        <f>HYPERLINK("https://www.youtube.com/watch?v=utlURXW4OUQ","https://www.youtube.com/watch?v=utlURXW4OUQ")</f>
        <v>https://www.youtube.com/watch?v=utlURXW4OUQ</v>
      </c>
      <c r="L29" t="inlineStr">
        <is>
          <t xml:space="preserve">This complete tutorial shows you how to build an automated system that organizes your Outlook emails into folders every night ...</t>
        </is>
      </c>
      <c r="M29" t="inlineStr">
        <is>
          <t xml:space="preserve">power automate email automation outlook</t>
        </is>
      </c>
    </row>
    <row r="30">
      <c r="A30" s="3">
        <v>29</v>
      </c>
      <c r="B30" t="inlineStr">
        <is>
          <t xml:space="preserve">Video</t>
        </is>
      </c>
      <c r="C30" t="inlineStr">
        <is>
          <t xml:space="preserve">English</t>
        </is>
      </c>
      <c r="D30" t="inlineStr">
        <is>
          <t xml:space="preserve">Project / Use case</t>
        </is>
      </c>
      <c r="E30" t="inlineStr">
        <is>
          <t xml:space="preserve">Desktop/RPA</t>
        </is>
      </c>
      <c r="F30" t="inlineStr">
        <is>
          <t xml:space="preserve">Power Automate Desktop Real Time Project | KT Sessions | Power Automate Desktop Tutorials</t>
        </is>
      </c>
      <c r="G30" t="inlineStr">
        <is>
          <t xml:space="preserve">KT Sessions</t>
        </is>
      </c>
      <c r="H30" s="3">
        <v>6244</v>
      </c>
      <c r="I30" t="inlineStr">
        <is>
          <t xml:space="preserve">1y ago</t>
        </is>
      </c>
      <c r="J30" t="inlineStr">
        <is>
          <t xml:space="preserve">22:15</t>
        </is>
      </c>
      <c r="K30" s="2" t="str">
        <f>HYPERLINK("https://www.youtube.com/watch?v=MbBXneZBx9A","https://www.youtube.com/watch?v=MbBXneZBx9A")</f>
        <v>https://www.youtube.com/watch?v=MbBXneZBx9A</v>
      </c>
      <c r="L30" t="inlineStr">
        <is>
          <t xml:space="preserve">Welcome to the final video in our Power Automate Desktop Beginner's series! In this ultimate tutorial, we'll build a complete ...</t>
        </is>
      </c>
      <c r="M30" t="inlineStr">
        <is>
          <t xml:space="preserve">power automate project ; power automate desktop project</t>
        </is>
      </c>
    </row>
    <row r="31">
      <c r="A31" s="3">
        <v>30</v>
      </c>
      <c r="B31" t="inlineStr">
        <is>
          <t xml:space="preserve">Video</t>
        </is>
      </c>
      <c r="C31" t="inlineStr">
        <is>
          <t xml:space="preserve">English</t>
        </is>
      </c>
      <c r="D31" t="inlineStr">
        <is>
          <t xml:space="preserve">Project / Use case</t>
        </is>
      </c>
      <c r="E31" t="inlineStr">
        <is>
          <t xml:space="preserve">Email/Outlook, AI/Copilot</t>
        </is>
      </c>
      <c r="F31" t="inlineStr">
        <is>
          <t xml:space="preserve">Auto Reply Outlook Emails with AI | Power Automate Email Assistant Saves 2+ Hours Daily</t>
        </is>
      </c>
      <c r="G31" t="inlineStr">
        <is>
          <t xml:space="preserve">Technologiate</t>
        </is>
      </c>
      <c r="H31" s="3">
        <v>5487</v>
      </c>
      <c r="I31" t="inlineStr">
        <is>
          <t xml:space="preserve">1y ago</t>
        </is>
      </c>
      <c r="J31" t="inlineStr">
        <is>
          <t xml:space="preserve">16:56</t>
        </is>
      </c>
      <c r="K31" s="2" t="str">
        <f>HYPERLINK("https://www.youtube.com/watch?v=AMmyHl_HDpo","https://www.youtube.com/watch?v=AMmyHl_HDpo")</f>
        <v>https://www.youtube.com/watch?v=AMmyHl_HDpo</v>
      </c>
      <c r="L31" t="inlineStr">
        <is>
          <t xml:space="preserve">This step-by-step tutorial shows you how to build an intelligent AI email assistant using Microsoft Power Automate and AI Builder ...</t>
        </is>
      </c>
      <c r="M31" t="inlineStr">
        <is>
          <t xml:space="preserve">power automate email automation outlook</t>
        </is>
      </c>
    </row>
    <row r="32">
      <c r="A32" s="3">
        <v>31</v>
      </c>
      <c r="B32" t="inlineStr">
        <is>
          <t xml:space="preserve">Video</t>
        </is>
      </c>
      <c r="C32" t="inlineStr">
        <is>
          <t xml:space="preserve">English</t>
        </is>
      </c>
      <c r="D32" t="inlineStr">
        <is>
          <t xml:space="preserve">Project / Use case</t>
        </is>
      </c>
      <c r="E32" t="inlineStr">
        <is>
          <t xml:space="preserve">Excel, Email/Outlook</t>
        </is>
      </c>
      <c r="F32" t="inlineStr">
        <is>
          <t xml:space="preserve">How to Auto-Send Follow-Up Emails in Outlook When No One Replies | Power Automate + Excel</t>
        </is>
      </c>
      <c r="G32" t="inlineStr">
        <is>
          <t xml:space="preserve">Technologiate</t>
        </is>
      </c>
      <c r="H32" s="3">
        <v>5070</v>
      </c>
      <c r="I32" t="inlineStr">
        <is>
          <t xml:space="preserve">6mo ago</t>
        </is>
      </c>
      <c r="J32" t="inlineStr">
        <is>
          <t xml:space="preserve">24:46</t>
        </is>
      </c>
      <c r="K32" s="2" t="str">
        <f>HYPERLINK("https://www.youtube.com/watch?v=W99k6X8WbdE","https://www.youtube.com/watch?v=W99k6X8WbdE")</f>
        <v>https://www.youtube.com/watch?v=W99k6X8WbdE</v>
      </c>
      <c r="L32" t="inlineStr">
        <is>
          <t xml:space="preserve">In this tutorial, I build a complete automated follow-up email system using Power Automate, Excel, and Outlook. The flow runs ...</t>
        </is>
      </c>
      <c r="M32" t="inlineStr">
        <is>
          <t xml:space="preserve">power automate email automation outlook</t>
        </is>
      </c>
    </row>
    <row r="33">
      <c r="A33" s="3">
        <v>32</v>
      </c>
      <c r="B33" t="inlineStr">
        <is>
          <t xml:space="preserve">Video</t>
        </is>
      </c>
      <c r="C33" t="inlineStr">
        <is>
          <t xml:space="preserve">English</t>
        </is>
      </c>
      <c r="D33" t="inlineStr">
        <is>
          <t xml:space="preserve">Project / Use case</t>
        </is>
      </c>
      <c r="E33" t="inlineStr">
        <is>
          <t xml:space="preserve">AI/Copilot</t>
        </is>
      </c>
      <c r="F33" t="inlineStr">
        <is>
          <t xml:space="preserve">Microsoft Power Automate | FULL COURSE for Beginners [2026]</t>
        </is>
      </c>
      <c r="G33" t="inlineStr">
        <is>
          <t xml:space="preserve">Powercademy</t>
        </is>
      </c>
      <c r="H33" s="3">
        <v>5014</v>
      </c>
      <c r="I33" t="inlineStr">
        <is>
          <t xml:space="preserve">3d ago</t>
        </is>
      </c>
      <c r="J33" t="inlineStr">
        <is>
          <t xml:space="preserve">1:49:27</t>
        </is>
      </c>
      <c r="K33" s="2" t="str">
        <f>HYPERLINK("https://www.youtube.com/watch?v=TEYTbsZCrzE","https://www.youtube.com/watch?v=TEYTbsZCrzE")</f>
        <v>https://www.youtube.com/watch?v=TEYTbsZCrzE</v>
      </c>
      <c r="L33" t="inlineStr">
        <is>
          <t xml:space="preserve">WANT SUPPORT ON YOUR POWER PLATFORM / MICROSOFT AI PROJECTS? Book a call with Howdang here: ...</t>
        </is>
      </c>
      <c r="M33" t="inlineStr">
        <is>
          <t xml:space="preserve">power automate full course ; power automate tutorial for beginners ; power automate advanced tutorial ; পাওয়ার অটোমেট</t>
        </is>
      </c>
    </row>
    <row r="34">
      <c r="A34" s="3">
        <v>33</v>
      </c>
      <c r="B34" t="inlineStr">
        <is>
          <t xml:space="preserve">Video</t>
        </is>
      </c>
      <c r="C34" t="inlineStr">
        <is>
          <t xml:space="preserve">English</t>
        </is>
      </c>
      <c r="D34" t="inlineStr">
        <is>
          <t xml:space="preserve">Project / Use case</t>
        </is>
      </c>
      <c r="E34" t="inlineStr">
        <is>
          <t xml:space="preserve"/>
        </is>
      </c>
      <c r="F34" t="inlineStr">
        <is>
          <t xml:space="preserve">Power Automate for Advanced Users: End-to-End Real-Life Case</t>
        </is>
      </c>
      <c r="G34" t="inlineStr">
        <is>
          <t xml:space="preserve">Anders Jensen</t>
        </is>
      </c>
      <c r="H34" s="3">
        <v>4383</v>
      </c>
      <c r="I34" t="inlineStr">
        <is>
          <t xml:space="preserve">7mo ago</t>
        </is>
      </c>
      <c r="J34" t="inlineStr">
        <is>
          <t xml:space="preserve">40:50</t>
        </is>
      </c>
      <c r="K34" s="2" t="str">
        <f>HYPERLINK("https://www.youtube.com/watch?v=9w-e4PrhxYE","https://www.youtube.com/watch?v=9w-e4PrhxYE")</f>
        <v>https://www.youtube.com/watch?v=9w-e4PrhxYE</v>
      </c>
      <c r="L34" t="inlineStr">
        <is>
          <t xml:space="preserve">This video shows how to build an advanced end-to-end solution with Power Automate using real-world patterns. You will see how ...</t>
        </is>
      </c>
      <c r="M34" t="inlineStr">
        <is>
          <t xml:space="preserve">power automate real world project ; power automate advanced tutorial</t>
        </is>
      </c>
    </row>
    <row r="35">
      <c r="A35" s="3">
        <v>34</v>
      </c>
      <c r="B35" t="inlineStr">
        <is>
          <t xml:space="preserve">Video</t>
        </is>
      </c>
      <c r="C35" t="inlineStr">
        <is>
          <t xml:space="preserve">English</t>
        </is>
      </c>
      <c r="D35" t="inlineStr">
        <is>
          <t xml:space="preserve">Project / Use case</t>
        </is>
      </c>
      <c r="E35" t="inlineStr">
        <is>
          <t xml:space="preserve">Desktop/RPA</t>
        </is>
      </c>
      <c r="F35" t="inlineStr">
        <is>
          <t xml:space="preserve">Microsoft Power Automate Desktop Tutorial | Power Automate Desktop Project for Practice</t>
        </is>
      </c>
      <c r="G35" t="inlineStr">
        <is>
          <t xml:space="preserve">EasyWay2Learn</t>
        </is>
      </c>
      <c r="H35" s="3">
        <v>2838</v>
      </c>
      <c r="I35" t="inlineStr">
        <is>
          <t xml:space="preserve">3y ago</t>
        </is>
      </c>
      <c r="J35" t="inlineStr">
        <is>
          <t xml:space="preserve">24:20</t>
        </is>
      </c>
      <c r="K35" s="2" t="str">
        <f>HYPERLINK("https://www.youtube.com/watch?v=a1sxlk6ru2c","https://www.youtube.com/watch?v=a1sxlk6ru2c")</f>
        <v>https://www.youtube.com/watch?v=a1sxlk6ru2c</v>
      </c>
      <c r="L35" t="inlineStr">
        <is>
          <t xml:space="preserve">Welcome to @easyways2learn In this comprehensive Microsoft Power Automate Desktop tutorial, we are diving deep into ...</t>
        </is>
      </c>
      <c r="M35" t="inlineStr">
        <is>
          <t xml:space="preserve">power automate desktop project</t>
        </is>
      </c>
    </row>
    <row r="36">
      <c r="A36" s="3">
        <v>35</v>
      </c>
      <c r="B36" t="inlineStr">
        <is>
          <t xml:space="preserve">Video</t>
        </is>
      </c>
      <c r="C36" t="inlineStr">
        <is>
          <t xml:space="preserve">English</t>
        </is>
      </c>
      <c r="D36" t="inlineStr">
        <is>
          <t xml:space="preserve">Project / Use case</t>
        </is>
      </c>
      <c r="E36" t="inlineStr">
        <is>
          <t xml:space="preserve">Approvals</t>
        </is>
      </c>
      <c r="F36" t="inlineStr">
        <is>
          <t xml:space="preserve">Power Automate Mock Interview: Flows, Approvals &amp; Real Project Examples</t>
        </is>
      </c>
      <c r="G36" t="inlineStr">
        <is>
          <t xml:space="preserve">KSR Datavizon </t>
        </is>
      </c>
      <c r="H36" s="3">
        <v>2386</v>
      </c>
      <c r="I36" t="inlineStr">
        <is>
          <t xml:space="preserve">5mo ago</t>
        </is>
      </c>
      <c r="J36" t="inlineStr">
        <is>
          <t xml:space="preserve">27:27</t>
        </is>
      </c>
      <c r="K36" s="2" t="str">
        <f>HYPERLINK("https://www.youtube.com/watch?v=ZSXDdUNYCNA","https://www.youtube.com/watch?v=ZSXDdUNYCNA")</f>
        <v>https://www.youtube.com/watch?v=ZSXDdUNYCNA</v>
      </c>
      <c r="L36" t="inlineStr">
        <is>
          <t xml:space="preserve">Are you preparing for a Power Platform developer interview or looking to sharpen your technical knowledge of the Microsoft ...</t>
        </is>
      </c>
      <c r="M36" t="inlineStr">
        <is>
          <t xml:space="preserve">power automate interview questions</t>
        </is>
      </c>
    </row>
    <row r="37">
      <c r="A37" s="3">
        <v>36</v>
      </c>
      <c r="B37" t="inlineStr">
        <is>
          <t xml:space="preserve">Video</t>
        </is>
      </c>
      <c r="C37" t="inlineStr">
        <is>
          <t xml:space="preserve">English</t>
        </is>
      </c>
      <c r="D37" t="inlineStr">
        <is>
          <t xml:space="preserve">Project / Use case</t>
        </is>
      </c>
      <c r="E37" t="inlineStr">
        <is>
          <t xml:space="preserve">Desktop/RPA, Excel, Web automation</t>
        </is>
      </c>
      <c r="F37" t="inlineStr">
        <is>
          <t xml:space="preserve">Power Automate Desktop || Project #4 : NSE - Creating folder to save data in excel - Part 9</t>
        </is>
      </c>
      <c r="G37" t="inlineStr">
        <is>
          <t xml:space="preserve">Learn RPA &amp; AI Technologies every day</t>
        </is>
      </c>
      <c r="H37" s="3">
        <v>1626</v>
      </c>
      <c r="I37" t="inlineStr">
        <is>
          <t xml:space="preserve">3y ago</t>
        </is>
      </c>
      <c r="J37" t="inlineStr">
        <is>
          <t xml:space="preserve">8:37</t>
        </is>
      </c>
      <c r="K37" s="2" t="str">
        <f>HYPERLINK("https://www.youtube.com/watch?v=O9kSdlEJKW0","https://www.youtube.com/watch?v=O9kSdlEJKW0")</f>
        <v>https://www.youtube.com/watch?v=O9kSdlEJKW0</v>
      </c>
      <c r="L37" t="inlineStr">
        <is>
          <t xml:space="preserve">Don't forget to SUBSCRIBE and hit the bell icon to get notified of new RPA videos.. Thank you! #webautomation ...</t>
        </is>
      </c>
      <c r="M37" t="inlineStr">
        <is>
          <t xml:space="preserve">power automate desktop project</t>
        </is>
      </c>
    </row>
    <row r="38">
      <c r="A38" s="3">
        <v>37</v>
      </c>
      <c r="B38" t="inlineStr">
        <is>
          <t xml:space="preserve">Video</t>
        </is>
      </c>
      <c r="C38" t="inlineStr">
        <is>
          <t xml:space="preserve">English</t>
        </is>
      </c>
      <c r="D38" t="inlineStr">
        <is>
          <t xml:space="preserve">Project / Use case</t>
        </is>
      </c>
      <c r="E38" t="inlineStr">
        <is>
          <t xml:space="preserve">Desktop/RPA, AI/Copilot</t>
        </is>
      </c>
      <c r="F38" t="inlineStr">
        <is>
          <t xml:space="preserve">Develop End-to-End Automation Using Power Automate Desktop | AI Copilot Series - Use case 3</t>
        </is>
      </c>
      <c r="G38" t="inlineStr">
        <is>
          <t xml:space="preserve">Deenuji Loganathan</t>
        </is>
      </c>
      <c r="H38" s="3">
        <v>992</v>
      </c>
      <c r="I38" t="inlineStr">
        <is>
          <t xml:space="preserve">1y ago</t>
        </is>
      </c>
      <c r="J38" t="inlineStr">
        <is>
          <t xml:space="preserve">36:58</t>
        </is>
      </c>
      <c r="K38" s="2" t="str">
        <f>HYPERLINK("https://www.youtube.com/watch?v=CcoLXF7Qi5A","https://www.youtube.com/watch?v=CcoLXF7Qi5A")</f>
        <v>https://www.youtube.com/watch?v=CcoLXF7Qi5A</v>
      </c>
      <c r="L38" t="inlineStr">
        <is>
          <t xml:space="preserve">In this video, we walk through a fully automated bank reconciliation process using Power Automate Desktop and the intelligence ...</t>
        </is>
      </c>
      <c r="M38" t="inlineStr">
        <is>
          <t xml:space="preserve">power automate desktop project</t>
        </is>
      </c>
    </row>
    <row r="39">
      <c r="A39" s="3">
        <v>38</v>
      </c>
      <c r="B39" t="inlineStr">
        <is>
          <t xml:space="preserve">Video</t>
        </is>
      </c>
      <c r="C39" t="inlineStr">
        <is>
          <t xml:space="preserve">English</t>
        </is>
      </c>
      <c r="D39" t="inlineStr">
        <is>
          <t xml:space="preserve">Project / Use case</t>
        </is>
      </c>
      <c r="E39" t="inlineStr">
        <is>
          <t xml:space="preserve">Approvals</t>
        </is>
      </c>
      <c r="F39" t="inlineStr">
        <is>
          <t xml:space="preserve">Power Automate Approvals Complete Course | Build a Real-World Approval Workflow (2026)</t>
        </is>
      </c>
      <c r="G39" t="inlineStr">
        <is>
          <t xml:space="preserve">CoyLix</t>
        </is>
      </c>
      <c r="H39" s="3">
        <v>873</v>
      </c>
      <c r="I39" t="inlineStr">
        <is>
          <t xml:space="preserve">2mo ago</t>
        </is>
      </c>
      <c r="J39" t="inlineStr">
        <is>
          <t xml:space="preserve">52:30</t>
        </is>
      </c>
      <c r="K39" s="2" t="str">
        <f>HYPERLINK("https://www.youtube.com/watch?v=K85VD6Yw11M","https://www.youtube.com/watch?v=K85VD6Yw11M")</f>
        <v>https://www.youtube.com/watch?v=K85VD6Yw11M</v>
      </c>
      <c r="L39" t="inlineStr">
        <is>
          <t xml:space="preserve">Crack Your Next Power Platform Interview ...</t>
        </is>
      </c>
      <c r="M39" t="inlineStr">
        <is>
          <t xml:space="preserve">power automate approval workflow</t>
        </is>
      </c>
    </row>
    <row r="40">
      <c r="A40" s="3">
        <v>39</v>
      </c>
      <c r="B40" t="inlineStr">
        <is>
          <t xml:space="preserve">Video</t>
        </is>
      </c>
      <c r="C40" t="inlineStr">
        <is>
          <t xml:space="preserve">English</t>
        </is>
      </c>
      <c r="D40" t="inlineStr">
        <is>
          <t xml:space="preserve">Project / Use case</t>
        </is>
      </c>
      <c r="E40" t="inlineStr">
        <is>
          <t xml:space="preserve">Cloud flows</t>
        </is>
      </c>
      <c r="F40" t="inlineStr">
        <is>
          <t xml:space="preserve">Power Automate Do Until: Build a Real-World Flow (Part 2/2)</t>
        </is>
      </c>
      <c r="G40" t="inlineStr">
        <is>
          <t xml:space="preserve">Alireza Aliabadi</t>
        </is>
      </c>
      <c r="H40" s="3">
        <v>439</v>
      </c>
      <c r="I40" t="inlineStr">
        <is>
          <t xml:space="preserve">1mo ago</t>
        </is>
      </c>
      <c r="J40" t="inlineStr">
        <is>
          <t xml:space="preserve">19:24</t>
        </is>
      </c>
      <c r="K40" s="2" t="str">
        <f>HYPERLINK("https://www.youtube.com/watch?v=bODxDeddwlc","https://www.youtube.com/watch?v=bODxDeddwlc")</f>
        <v>https://www.youtube.com/watch?v=bODxDeddwlc</v>
      </c>
      <c r="L40" t="inlineStr">
        <is>
          <t xml:space="preserve">In Part 2 of our Power Automate Do Until series, the training wheels are officially off. We build a realistic automated cloud flow ...</t>
        </is>
      </c>
      <c r="M40" t="inlineStr">
        <is>
          <t xml:space="preserve">power automate real world project</t>
        </is>
      </c>
    </row>
    <row r="41">
      <c r="A41" s="3">
        <v>40</v>
      </c>
      <c r="B41" t="inlineStr">
        <is>
          <t xml:space="preserve">Video</t>
        </is>
      </c>
      <c r="C41" t="inlineStr">
        <is>
          <t xml:space="preserve">English</t>
        </is>
      </c>
      <c r="D41" t="inlineStr">
        <is>
          <t xml:space="preserve">Project / Use case</t>
        </is>
      </c>
      <c r="E41" t="inlineStr">
        <is>
          <t xml:space="preserve">Approvals</t>
        </is>
      </c>
      <c r="F41" t="inlineStr">
        <is>
          <t xml:space="preserve">How to Create an Approval Flow in Power Automate, Build Approval Workflow Process Easily 2026</t>
        </is>
      </c>
      <c r="G41" t="inlineStr">
        <is>
          <t xml:space="preserve">PMN Online</t>
        </is>
      </c>
      <c r="H41" s="3">
        <v>389</v>
      </c>
      <c r="I41" t="inlineStr">
        <is>
          <t xml:space="preserve">2mo ago</t>
        </is>
      </c>
      <c r="J41" t="inlineStr">
        <is>
          <t xml:space="preserve">8:18</t>
        </is>
      </c>
      <c r="K41" s="2" t="str">
        <f>HYPERLINK("https://www.youtube.com/watch?v=t1q-f6cRls0","https://www.youtube.com/watch?v=t1q-f6cRls0")</f>
        <v>https://www.youtube.com/watch?v=t1q-f6cRls0</v>
      </c>
      <c r="L41" t="inlineStr">
        <is>
          <t xml:space="preserve">In this video I have shown How to Create an Approval Flow in Power Automate, Build Approval Workflow Process Easily 2026.</t>
        </is>
      </c>
      <c r="M41" t="inlineStr">
        <is>
          <t xml:space="preserve">power automate approval workflow</t>
        </is>
      </c>
    </row>
    <row r="42">
      <c r="A42" s="3">
        <v>41</v>
      </c>
      <c r="B42" t="inlineStr">
        <is>
          <t xml:space="preserve">Playlist</t>
        </is>
      </c>
      <c r="C42" t="inlineStr">
        <is>
          <t xml:space="preserve">English</t>
        </is>
      </c>
      <c r="D42" t="inlineStr">
        <is>
          <t xml:space="preserve">Project / Use case</t>
        </is>
      </c>
      <c r="E42" t="inlineStr">
        <is>
          <t xml:space="preserve">Cloud flows</t>
        </is>
      </c>
      <c r="F42" t="inlineStr">
        <is>
          <t xml:space="preserve">Power Automate Cloud Flow Project</t>
        </is>
      </c>
      <c r="G42" t="inlineStr">
        <is>
          <t xml:space="preserve">Last Minute Coders</t>
        </is>
      </c>
      <c r="H42" t="inlineStr">
        <is>
          <t xml:space="preserve"/>
        </is>
      </c>
      <c r="I42" t="inlineStr">
        <is>
          <t xml:space="preserve"/>
        </is>
      </c>
      <c r="J42" t="inlineStr">
        <is>
          <t xml:space="preserve">7 videos</t>
        </is>
      </c>
      <c r="K42" s="2" t="str">
        <f>HYPERLINK("https://www.youtube.com/playlist?list=PLy6eszntaztPTlkEVss3fPSPd0mpJ72pV","https://www.youtube.com/playlist?list=PLy6eszntaztPTlkEVss3fPSPd0mpJ72pV")</f>
        <v>https://www.youtube.com/playlist?list=PLy6eszntaztPTlkEVss3fPSPd0mpJ72pV</v>
      </c>
      <c r="L42" t="inlineStr">
        <is>
          <t xml:space="preserve">Playlist | View full playlist</t>
        </is>
      </c>
      <c r="M42" t="inlineStr">
        <is>
          <t xml:space="preserve">power automate full course ; power automate project ; power automate real world project ; power automate cloud flow tutorial ; power apps power automate project ; power automate course ; power automate project hindi</t>
        </is>
      </c>
    </row>
    <row r="43">
      <c r="A43" s="3">
        <v>42</v>
      </c>
      <c r="B43" t="inlineStr">
        <is>
          <t xml:space="preserve">Playlist</t>
        </is>
      </c>
      <c r="C43" t="inlineStr">
        <is>
          <t xml:space="preserve">English</t>
        </is>
      </c>
      <c r="D43" t="inlineStr">
        <is>
          <t xml:space="preserve">Project / Use case</t>
        </is>
      </c>
      <c r="E43" t="inlineStr">
        <is>
          <t xml:space="preserve">Approvals, Power Apps</t>
        </is>
      </c>
      <c r="F43" t="inlineStr">
        <is>
          <t xml:space="preserve">Power Automate (flows)</t>
        </is>
      </c>
      <c r="G43" t="inlineStr">
        <is>
          <t xml:space="preserve">Reza Dorrani</t>
        </is>
      </c>
      <c r="H43" t="inlineStr">
        <is>
          <t xml:space="preserve"/>
        </is>
      </c>
      <c r="I43" t="inlineStr">
        <is>
          <t xml:space="preserve"/>
        </is>
      </c>
      <c r="J43" t="inlineStr">
        <is>
          <t xml:space="preserve">110 videos</t>
        </is>
      </c>
      <c r="K43" s="2" t="str">
        <f>HYPERLINK("https://www.youtube.com/playlist?list=PLTyFh-qDKAiEs0rhQuR7fwSv5_63FHr_0","https://www.youtube.com/playlist?list=PLTyFh-qDKAiEs0rhQuR7fwSv5_63FHr_0")</f>
        <v>https://www.youtube.com/playlist?list=PLTyFh-qDKAiEs0rhQuR7fwSv5_63FHr_0</v>
      </c>
      <c r="L43" t="inlineStr">
        <is>
          <t xml:space="preserve">Playlist | Power Apps Approval Request Screen + Multi-Step Approval Workflow 🚀 · 26:13 | Build a Power App + Power Automate Approval Flow in 15 Minutes with MCP · 18:44 | View full playlist | Welcome to the world of "Power Automate"! This playlist is your go-to resource for mastering the art of aut</t>
        </is>
      </c>
      <c r="M43" t="inlineStr">
        <is>
          <t xml:space="preserve">power automate full course ; power automate project ; power automate real world project ; power automate cloud flow tutorial ; power automate advanced tutorial ; power apps power automate project ; power automate course ; power automate tutorial playlist</t>
        </is>
      </c>
    </row>
    <row r="44">
      <c r="A44" s="3">
        <v>43</v>
      </c>
      <c r="B44" t="inlineStr">
        <is>
          <t xml:space="preserve">Playlist</t>
        </is>
      </c>
      <c r="C44" t="inlineStr">
        <is>
          <t xml:space="preserve">English</t>
        </is>
      </c>
      <c r="D44" t="inlineStr">
        <is>
          <t xml:space="preserve">Project / Use case</t>
        </is>
      </c>
      <c r="E44" t="inlineStr">
        <is>
          <t xml:space="preserve">Desktop/RPA, Web automation</t>
        </is>
      </c>
      <c r="F44" t="inlineStr">
        <is>
          <t xml:space="preserve">Power Automate Desktop : Projects</t>
        </is>
      </c>
      <c r="G44" t="inlineStr">
        <is>
          <t xml:space="preserve">Learn RPA &amp; AI Technologies every day</t>
        </is>
      </c>
      <c r="H44" t="inlineStr">
        <is>
          <t xml:space="preserve"/>
        </is>
      </c>
      <c r="I44" t="inlineStr">
        <is>
          <t xml:space="preserve"/>
        </is>
      </c>
      <c r="J44" t="inlineStr">
        <is>
          <t xml:space="preserve">43 videos</t>
        </is>
      </c>
      <c r="K44" s="2" t="str">
        <f>HYPERLINK("https://www.youtube.com/playlist?list=PLZVSOFwGx4zDtjaiP_7LG42AjrcoKFvWs","https://www.youtube.com/playlist?list=PLZVSOFwGx4zDtjaiP_7LG42AjrcoKFvWs")</f>
        <v>https://www.youtube.com/playlist?list=PLZVSOFwGx4zDtjaiP_7LG42AjrcoKFvWs</v>
      </c>
      <c r="L44" t="inlineStr">
        <is>
          <t xml:space="preserve">Playlist | Power Automate Desktop || Project #1 : HR Usecase - Employee Onboarding Process - Part 1 · 12:37 | Power Automate Desktop || Project #1 - Employee Onboarding Process - Web Automation - Part 2 · 12:02 | View full playlist</t>
        </is>
      </c>
      <c r="M44" t="inlineStr">
        <is>
          <t xml:space="preserve">power automate project ; power automate real world project ; power automate desktop full course ; power automate desktop project</t>
        </is>
      </c>
    </row>
    <row r="45">
      <c r="A45" s="3">
        <v>44</v>
      </c>
      <c r="B45" t="inlineStr">
        <is>
          <t xml:space="preserve">Playlist</t>
        </is>
      </c>
      <c r="C45" t="inlineStr">
        <is>
          <t xml:space="preserve">English</t>
        </is>
      </c>
      <c r="D45" t="inlineStr">
        <is>
          <t xml:space="preserve">Project / Use case</t>
        </is>
      </c>
      <c r="E45" t="inlineStr">
        <is>
          <t xml:space="preserve">Desktop/RPA, Excel, AI/Copilot, PDF, Web automation</t>
        </is>
      </c>
      <c r="F45" t="inlineStr">
        <is>
          <t xml:space="preserve">Power Automate Desktop Use Cases</t>
        </is>
      </c>
      <c r="G45" t="inlineStr">
        <is>
          <t xml:space="preserve">Anders Jensen</t>
        </is>
      </c>
      <c r="H45" t="inlineStr">
        <is>
          <t xml:space="preserve"/>
        </is>
      </c>
      <c r="I45" t="inlineStr">
        <is>
          <t xml:space="preserve"/>
        </is>
      </c>
      <c r="J45" t="inlineStr">
        <is>
          <t xml:space="preserve">9 videos</t>
        </is>
      </c>
      <c r="K45" s="2" t="str">
        <f>HYPERLINK("https://www.youtube.com/playlist?list=PLXXz88_TPiHqbQENjPjBkO3DSro06cAcb","https://www.youtube.com/playlist?list=PLXXz88_TPiHqbQENjPjBkO3DSro06cAcb")</f>
        <v>https://www.youtube.com/playlist?list=PLXXz88_TPiHqbQENjPjBkO3DSro06cAcb</v>
      </c>
      <c r="L45" t="inlineStr">
        <is>
          <t xml:space="preserve">Playlist | Updated today | Advanced Excel in Microsoft Power Automate Desktop - Use Case for Accountants · 1:00:52 | Save Web Data to Excel - Power Automate Desktop Advanced Use Case · 2:09:56 | View full playlist | Power Automate Desktop use cases: Advanced Excel for accountants, web data to Excel,</t>
        </is>
      </c>
      <c r="M45" t="inlineStr">
        <is>
          <t xml:space="preserve">power automate project ; power automate real world project ; power automate desktop project ; power automate advanced tutorial</t>
        </is>
      </c>
    </row>
    <row r="46">
      <c r="A46" s="3">
        <v>45</v>
      </c>
      <c r="B46" t="inlineStr">
        <is>
          <t xml:space="preserve">Playlist</t>
        </is>
      </c>
      <c r="C46" t="inlineStr">
        <is>
          <t xml:space="preserve">English</t>
        </is>
      </c>
      <c r="D46" t="inlineStr">
        <is>
          <t xml:space="preserve">Project / Use case</t>
        </is>
      </c>
      <c r="E46" t="inlineStr">
        <is>
          <t xml:space="preserve">Cloud flows, SharePoint, Email/Outlook, Teams, Forms</t>
        </is>
      </c>
      <c r="F46" t="inlineStr">
        <is>
          <t xml:space="preserve">Power Automate - Practical Use Cases</t>
        </is>
      </c>
      <c r="G46" t="inlineStr">
        <is>
          <t xml:space="preserve">Automate M365</t>
        </is>
      </c>
      <c r="H46" t="inlineStr">
        <is>
          <t xml:space="preserve"/>
        </is>
      </c>
      <c r="I46" t="inlineStr">
        <is>
          <t xml:space="preserve"/>
        </is>
      </c>
      <c r="J46" t="inlineStr">
        <is>
          <t xml:space="preserve">59 videos</t>
        </is>
      </c>
      <c r="K46" s="2" t="str">
        <f>HYPERLINK("https://www.youtube.com/playlist?list=PLiVyYzha0uI-uisfup29uphlDQmj1TvM6","https://www.youtube.com/playlist?list=PLiVyYzha0uI-uisfup29uphlDQmj1TvM6")</f>
        <v>https://www.youtube.com/playlist?list=PLiVyYzha0uI-uisfup29uphlDQmj1TvM6</v>
      </c>
      <c r="L46" t="inlineStr">
        <is>
          <t xml:space="preserve">Playlist | Updated 5 days ago | Send Emails to the Right Person from a SharePoint List | Power Automate Tutorial · 2:39 | How to Send SharePoint List Attachments via Outlook | Power Automate Tutorial · 4:43 | View full playlist | Discover practical Power Automate use cases to streamline your daily w</t>
        </is>
      </c>
      <c r="M46" t="inlineStr">
        <is>
          <t xml:space="preserve">power automate real world project ; power automate project</t>
        </is>
      </c>
    </row>
    <row r="47">
      <c r="A47" s="3">
        <v>46</v>
      </c>
      <c r="B47" t="inlineStr">
        <is>
          <t xml:space="preserve">Playlist</t>
        </is>
      </c>
      <c r="C47" t="inlineStr">
        <is>
          <t xml:space="preserve">English</t>
        </is>
      </c>
      <c r="D47" t="inlineStr">
        <is>
          <t xml:space="preserve">Project / Use case</t>
        </is>
      </c>
      <c r="E47" t="inlineStr">
        <is>
          <t xml:space="preserve">Desktop/RPA, Web automation</t>
        </is>
      </c>
      <c r="F47" t="inlineStr">
        <is>
          <t xml:space="preserve">Power Automate Desktop Tutorials: Streamline Your Workflow</t>
        </is>
      </c>
      <c r="G47" t="inlineStr">
        <is>
          <t xml:space="preserve">RPA Champion</t>
        </is>
      </c>
      <c r="H47" t="inlineStr">
        <is>
          <t xml:space="preserve"/>
        </is>
      </c>
      <c r="I47" t="inlineStr">
        <is>
          <t xml:space="preserve"/>
        </is>
      </c>
      <c r="J47" t="inlineStr">
        <is>
          <t xml:space="preserve">121 videos</t>
        </is>
      </c>
      <c r="K47" s="2" t="str">
        <f>HYPERLINK("https://www.youtube.com/playlist?list=PLrMkPhRNv7f10GarG4QwcAAwQQNMato1j","https://www.youtube.com/playlist?list=PLrMkPhRNv7f10GarG4QwcAAwQQNMato1j")</f>
        <v>https://www.youtube.com/playlist?list=PLrMkPhRNv7f10GarG4QwcAAwQQNMato1j</v>
      </c>
      <c r="L47" t="inlineStr">
        <is>
          <t xml:space="preserve">Playlist | 🤖 Microsoft Power Automate Desktop Tutorial - Getting Started Install &amp; Setup [DAY 1] · 10:10 | 🤖 Microsoft Power Automate Desktop Tutorial - How to create your first desktop flow [DAY 2] · 13:16 | View full playlist | Welcome to "Power Automate Desktop Tutorials: Streamline Your Workfl</t>
        </is>
      </c>
      <c r="M47" t="inlineStr">
        <is>
          <t xml:space="preserve">power automate desktop full course</t>
        </is>
      </c>
    </row>
    <row r="48">
      <c r="A48" s="3">
        <v>47</v>
      </c>
      <c r="B48" t="inlineStr">
        <is>
          <t xml:space="preserve">Playlist</t>
        </is>
      </c>
      <c r="C48" t="inlineStr">
        <is>
          <t xml:space="preserve">English</t>
        </is>
      </c>
      <c r="D48" t="inlineStr">
        <is>
          <t xml:space="preserve">Project / Use case</t>
        </is>
      </c>
      <c r="E48" t="inlineStr">
        <is>
          <t xml:space="preserve">SharePoint, Approvals, Power Apps</t>
        </is>
      </c>
      <c r="F48" t="inlineStr">
        <is>
          <t xml:space="preserve">Power Apps &amp; Power Automate Integration</t>
        </is>
      </c>
      <c r="G48" t="inlineStr">
        <is>
          <t xml:space="preserve">Reza Dorrani</t>
        </is>
      </c>
      <c r="H48" t="inlineStr">
        <is>
          <t xml:space="preserve"/>
        </is>
      </c>
      <c r="I48" t="inlineStr">
        <is>
          <t xml:space="preserve"/>
        </is>
      </c>
      <c r="J48" t="inlineStr">
        <is>
          <t xml:space="preserve">21 videos</t>
        </is>
      </c>
      <c r="K48" s="2" t="str">
        <f>HYPERLINK("https://www.youtube.com/playlist?list=PLTyFh-qDKAiE8Cl15mz1wMNz2nUbgXFGU","https://www.youtube.com/playlist?list=PLTyFh-qDKAiE8Cl15mz1wMNz2nUbgXFGU")</f>
        <v>https://www.youtube.com/playlist?list=PLTyFh-qDKAiE8Cl15mz1wMNz2nUbgXFGU</v>
      </c>
      <c r="L48" t="inlineStr">
        <is>
          <t xml:space="preserve">Playlist | Build a Power App + Power Automate Approval Flow in 15 Minutes with MCP · 18:44 | UPLOAD files from Power Apps to SharePoint Document Library ➕ Set Properties · 21:38 | View full playlist</t>
        </is>
      </c>
      <c r="M48" t="inlineStr">
        <is>
          <t xml:space="preserve">power automate sharepoint automation ; power apps power automate project</t>
        </is>
      </c>
    </row>
    <row r="49">
      <c r="A49" s="3">
        <v>48</v>
      </c>
      <c r="B49" t="inlineStr">
        <is>
          <t xml:space="preserve">Playlist</t>
        </is>
      </c>
      <c r="C49" t="inlineStr">
        <is>
          <t xml:space="preserve">English</t>
        </is>
      </c>
      <c r="D49" t="inlineStr">
        <is>
          <t xml:space="preserve">Project / Use case</t>
        </is>
      </c>
      <c r="E49" t="inlineStr">
        <is>
          <t xml:space="preserve">Desktop/RPA, Excel, Web automation</t>
        </is>
      </c>
      <c r="F49" t="inlineStr">
        <is>
          <t xml:space="preserve">power automate excel to web form</t>
        </is>
      </c>
      <c r="G49" t="inlineStr">
        <is>
          <t xml:space="preserve">Stephen Vernon</t>
        </is>
      </c>
      <c r="H49" t="inlineStr">
        <is>
          <t xml:space="preserve"/>
        </is>
      </c>
      <c r="I49" t="inlineStr">
        <is>
          <t xml:space="preserve"/>
        </is>
      </c>
      <c r="J49" t="inlineStr">
        <is>
          <t xml:space="preserve">7 videos</t>
        </is>
      </c>
      <c r="K49" s="2" t="str">
        <f>HYPERLINK("https://www.youtube.com/playlist?list=PLYYipGc8xXbub7JTVjgVP1ApdXgQD7EXd","https://www.youtube.com/playlist?list=PLYYipGc8xXbub7JTVjgVP1ApdXgQD7EXd")</f>
        <v>https://www.youtube.com/playlist?list=PLYYipGc8xXbub7JTVjgVP1ApdXgQD7EXd</v>
      </c>
      <c r="L49" t="inlineStr">
        <is>
          <t xml:space="preserve">Playlist | Power Automate Deskop - How To Fill Data From Excel To Web Form (Full Tutorial) · 19:29 | Power Automate Desktop : Data Entry Project with Web Form Filling Actions &amp; Excel Automation · 14:02 | View full playlist</t>
        </is>
      </c>
      <c r="M49" t="inlineStr">
        <is>
          <t xml:space="preserve">power automate excel automation ; power automate hindi</t>
        </is>
      </c>
    </row>
    <row r="50">
      <c r="A50" s="3">
        <v>49</v>
      </c>
      <c r="B50" t="inlineStr">
        <is>
          <t xml:space="preserve">Playlist</t>
        </is>
      </c>
      <c r="C50" t="inlineStr">
        <is>
          <t xml:space="preserve">English</t>
        </is>
      </c>
      <c r="D50" t="inlineStr">
        <is>
          <t xml:space="preserve">Project / Use case</t>
        </is>
      </c>
      <c r="E50" t="inlineStr">
        <is>
          <t xml:space="preserve">Desktop/RPA, AI/Copilot</t>
        </is>
      </c>
      <c r="F50" t="inlineStr">
        <is>
          <t xml:space="preserve">PL-500: Microsoft Power Automate RPA Developer</t>
        </is>
      </c>
      <c r="G50" t="inlineStr">
        <is>
          <t xml:space="preserve">Anders Jensen</t>
        </is>
      </c>
      <c r="H50" t="inlineStr">
        <is>
          <t xml:space="preserve"/>
        </is>
      </c>
      <c r="I50" t="inlineStr">
        <is>
          <t xml:space="preserve"/>
        </is>
      </c>
      <c r="J50" t="inlineStr">
        <is>
          <t xml:space="preserve">6 videos</t>
        </is>
      </c>
      <c r="K50" s="2" t="str">
        <f>HYPERLINK("https://www.youtube.com/playlist?list=PLXXz88_TPiHrnu0itj7At0K-xEZyl2XNr","https://www.youtube.com/playlist?list=PLXXz88_TPiHrnu0itj7At0K-xEZyl2XNr")</f>
        <v>https://www.youtube.com/playlist?list=PLXXz88_TPiHrnu0itj7At0K-xEZyl2XNr</v>
      </c>
      <c r="L50" t="inlineStr">
        <is>
          <t xml:space="preserve">Playlist | Updated today | How to Install the Contoso Invoicing Application · 4:04 | Advanced Error and Exception Handling in Power Automate Desktop - Complete Tutorial · 46:08 | View full playlist | Practical exercises for the PL-500 Microsoft Power Automate RPA Developer exam: The Contoso Invoicin</t>
        </is>
      </c>
      <c r="M50" t="inlineStr">
        <is>
          <t xml:space="preserve">PL-500 power automate RPA developer</t>
        </is>
      </c>
    </row>
    <row r="51">
      <c r="A51" s="3">
        <v>50</v>
      </c>
      <c r="B51" t="inlineStr">
        <is>
          <t xml:space="preserve">Playlist</t>
        </is>
      </c>
      <c r="C51" t="inlineStr">
        <is>
          <t xml:space="preserve">English</t>
        </is>
      </c>
      <c r="D51" t="inlineStr">
        <is>
          <t xml:space="preserve">Project / Use case</t>
        </is>
      </c>
      <c r="E51" t="inlineStr">
        <is>
          <t xml:space="preserve">Cloud flows, Approvals</t>
        </is>
      </c>
      <c r="F51" t="inlineStr">
        <is>
          <t xml:space="preserve">Power Automate Interview Questions (With Real Scenarios)</t>
        </is>
      </c>
      <c r="G51" t="inlineStr">
        <is>
          <t xml:space="preserve">CoyLix</t>
        </is>
      </c>
      <c r="H51" t="inlineStr">
        <is>
          <t xml:space="preserve"/>
        </is>
      </c>
      <c r="I51" t="inlineStr">
        <is>
          <t xml:space="preserve"/>
        </is>
      </c>
      <c r="J51" t="inlineStr">
        <is>
          <t xml:space="preserve">8 videos</t>
        </is>
      </c>
      <c r="K51" s="2" t="str">
        <f>HYPERLINK("https://www.youtube.com/playlist?list=PLIgGRj_DudkhkYbf0Va8lRDOwAA2k_SuW","https://www.youtube.com/playlist?list=PLIgGRj_DudkhkYbf0Va8lRDOwAA2k_SuW")</f>
        <v>https://www.youtube.com/playlist?list=PLIgGRj_DudkhkYbf0Va8lRDOwAA2k_SuW</v>
      </c>
      <c r="L51" t="inlineStr">
        <is>
          <t xml:space="preserve">Playlist | Crack Your Next Power Automate Interview | 100+ Power Automate Interview Questions (2026) | CoyLix · 1:32:20 | Only 5% Score 15/15 | Power Automate Interview Questions &amp; Answers | CoyLix · 10:06 | View full playlist | Power Automate interview questions explained with real-world scenarios </t>
        </is>
      </c>
      <c r="M51" t="inlineStr">
        <is>
          <t xml:space="preserve">power automate interview questions</t>
        </is>
      </c>
    </row>
    <row r="52">
      <c r="A52" s="3">
        <v>51</v>
      </c>
      <c r="B52" t="inlineStr">
        <is>
          <t xml:space="preserve">Playlist</t>
        </is>
      </c>
      <c r="C52" t="inlineStr">
        <is>
          <t xml:space="preserve">English</t>
        </is>
      </c>
      <c r="D52" t="inlineStr">
        <is>
          <t xml:space="preserve">Project / Use case</t>
        </is>
      </c>
      <c r="E52" t="inlineStr">
        <is>
          <t xml:space="preserve">Power Apps, Forms</t>
        </is>
      </c>
      <c r="F52" t="inlineStr">
        <is>
          <t xml:space="preserve">Power Apps Interview Questions (Beginner to Advanced)</t>
        </is>
      </c>
      <c r="G52" t="inlineStr">
        <is>
          <t xml:space="preserve">CoyLix</t>
        </is>
      </c>
      <c r="H52" t="inlineStr">
        <is>
          <t xml:space="preserve"/>
        </is>
      </c>
      <c r="I52" t="inlineStr">
        <is>
          <t xml:space="preserve"/>
        </is>
      </c>
      <c r="J52" t="inlineStr">
        <is>
          <t xml:space="preserve">63 videos</t>
        </is>
      </c>
      <c r="K52" s="2" t="str">
        <f>HYPERLINK("https://www.youtube.com/playlist?list=PLIgGRj_Dudkh43KTifylsGqagytnwLl3v","https://www.youtube.com/playlist?list=PLIgGRj_Dudkh43KTifylsGqagytnwLl3v")</f>
        <v>https://www.youtube.com/playlist?list=PLIgGRj_Dudkh43KTifylsGqagytnwLl3v</v>
      </c>
      <c r="L52" t="inlineStr">
        <is>
          <t xml:space="preserve">Playlist | 125+ Power Apps Interview Questions That Will Get You HIRED (Full Mega Video) · 2:00:37 | The Only Power Apps Interview Guide You Need: 110+ Questions · 43:57 | View full playlist | Power Apps interview questions covering beginner to advanced topics with real-world examples and practical </t>
        </is>
      </c>
      <c r="M52" t="inlineStr">
        <is>
          <t xml:space="preserve">power automate interview questions</t>
        </is>
      </c>
    </row>
    <row r="53">
      <c r="A53" s="3">
        <v>52</v>
      </c>
      <c r="B53" t="inlineStr">
        <is>
          <t xml:space="preserve">Playlist</t>
        </is>
      </c>
      <c r="C53" t="inlineStr">
        <is>
          <t xml:space="preserve">English</t>
        </is>
      </c>
      <c r="D53" t="inlineStr">
        <is>
          <t xml:space="preserve">Project / Use case</t>
        </is>
      </c>
      <c r="E53" t="inlineStr">
        <is>
          <t xml:space="preserve">Power Apps</t>
        </is>
      </c>
      <c r="F53" t="inlineStr">
        <is>
          <t xml:space="preserve">Project Management App in Power Apps</t>
        </is>
      </c>
      <c r="G53" t="inlineStr">
        <is>
          <t xml:space="preserve">The Analyst Nik</t>
        </is>
      </c>
      <c r="H53" t="inlineStr">
        <is>
          <t xml:space="preserve"/>
        </is>
      </c>
      <c r="I53" t="inlineStr">
        <is>
          <t xml:space="preserve"/>
        </is>
      </c>
      <c r="J53" t="inlineStr">
        <is>
          <t xml:space="preserve">6 videos</t>
        </is>
      </c>
      <c r="K53" s="2" t="str">
        <f>HYPERLINK("https://www.youtube.com/playlist?list=PLqdX1lLexBLjWGgwPDpWZm7rjrMzWAZty","https://www.youtube.com/playlist?list=PLqdX1lLexBLjWGgwPDpWZm7rjrMzWAZty")</f>
        <v>https://www.youtube.com/playlist?list=PLqdX1lLexBLjWGgwPDpWZm7rjrMzWAZty</v>
      </c>
      <c r="L53" t="inlineStr">
        <is>
          <t xml:space="preserve">Playlist | Let's Build a Project Management Power App · 1:59:17 | Custom Filter Panel in Power Apps · 58:04 | View full playlist</t>
        </is>
      </c>
      <c r="M53" t="inlineStr">
        <is>
          <t xml:space="preserve">power apps power automate project</t>
        </is>
      </c>
    </row>
    <row r="54">
      <c r="A54" s="3">
        <v>53</v>
      </c>
      <c r="B54" t="inlineStr">
        <is>
          <t xml:space="preserve">Playlist</t>
        </is>
      </c>
      <c r="C54" t="inlineStr">
        <is>
          <t xml:space="preserve">English</t>
        </is>
      </c>
      <c r="D54" t="inlineStr">
        <is>
          <t xml:space="preserve">Project / Use case</t>
        </is>
      </c>
      <c r="E54" t="inlineStr">
        <is>
          <t xml:space="preserve">Power Apps, Dataverse</t>
        </is>
      </c>
      <c r="F54" t="inlineStr">
        <is>
          <t xml:space="preserve">Project Management App in Power Apps</t>
        </is>
      </c>
      <c r="G54" t="inlineStr">
        <is>
          <t xml:space="preserve">Apptomax</t>
        </is>
      </c>
      <c r="H54" t="inlineStr">
        <is>
          <t xml:space="preserve"/>
        </is>
      </c>
      <c r="I54" t="inlineStr">
        <is>
          <t xml:space="preserve"/>
        </is>
      </c>
      <c r="J54" t="inlineStr">
        <is>
          <t xml:space="preserve">8 videos</t>
        </is>
      </c>
      <c r="K54" s="2" t="str">
        <f>HYPERLINK("https://www.youtube.com/playlist?list=PL6hnAN50Ah3p-fHnn0H4hbgAOKzpTHTzq","https://www.youtube.com/playlist?list=PL6hnAN50Ah3p-fHnn0H4hbgAOKzpTHTzq")</f>
        <v>https://www.youtube.com/playlist?list=PL6hnAN50Ah3p-fHnn0H4hbgAOKzpTHTzq</v>
      </c>
      <c r="L54" t="inlineStr">
        <is>
          <t xml:space="preserve">Playlist | Project Management App in Power Apps – Part 1: Menu Screen | Full Template Available · 16:54 | Part 2: Build Project Management App | Dataverse Lookup + Navigation + Dashboard in PowerApps · 41:42 | View full playlist</t>
        </is>
      </c>
      <c r="M54" t="inlineStr">
        <is>
          <t xml:space="preserve">power apps power automate project</t>
        </is>
      </c>
    </row>
    <row r="55">
      <c r="A55" s="3">
        <v>54</v>
      </c>
      <c r="B55" t="inlineStr">
        <is>
          <t xml:space="preserve">Playlist</t>
        </is>
      </c>
      <c r="C55" t="inlineStr">
        <is>
          <t xml:space="preserve">English</t>
        </is>
      </c>
      <c r="D55" t="inlineStr">
        <is>
          <t xml:space="preserve">Project / Use case</t>
        </is>
      </c>
      <c r="E55" t="inlineStr">
        <is>
          <t xml:space="preserve">Excel, Power Apps</t>
        </is>
      </c>
      <c r="F55" t="inlineStr">
        <is>
          <t xml:space="preserve">Microsoft Power Apps Beginner Course - Full Step-by-Step Tutorial</t>
        </is>
      </c>
      <c r="G55" t="inlineStr">
        <is>
          <t xml:space="preserve">Rudimar | Microsoft MVP | Power Apps in English</t>
        </is>
      </c>
      <c r="H55" t="inlineStr">
        <is>
          <t xml:space="preserve"/>
        </is>
      </c>
      <c r="I55" t="inlineStr">
        <is>
          <t xml:space="preserve"/>
        </is>
      </c>
      <c r="J55" t="inlineStr">
        <is>
          <t xml:space="preserve">55 videos</t>
        </is>
      </c>
      <c r="K55" s="2" t="str">
        <f>HYPERLINK("https://www.youtube.com/playlist?list=PLJCcpEOSXzJToutT3VAhQzOcf13lKM569","https://www.youtube.com/playlist?list=PLJCcpEOSXzJToutT3VAhQzOcf13lKM569")</f>
        <v>https://www.youtube.com/playlist?list=PLJCcpEOSXzJToutT3VAhQzOcf13lKM569</v>
      </c>
      <c r="L55" t="inlineStr">
        <is>
          <t xml:space="preserve">Playlist | First Steps in Power Apps: A Beginner's Guide - Power Apps Canvas App Tutorial Series · 2:47 | Getting Started with Power Apps: How to Get Access &amp; Start Developing · 4:52 | View full playlist | In this Power Apps tutorial, designed for Microsoft Power Apps beginners, you’ll learn how to </t>
        </is>
      </c>
      <c r="M55" t="inlineStr">
        <is>
          <t xml:space="preserve">power apps power automate project</t>
        </is>
      </c>
    </row>
    <row r="56">
      <c r="A56" s="3">
        <v>55</v>
      </c>
      <c r="B56" t="inlineStr">
        <is>
          <t xml:space="preserve">Playlist</t>
        </is>
      </c>
      <c r="C56" t="inlineStr">
        <is>
          <t xml:space="preserve">English</t>
        </is>
      </c>
      <c r="D56" t="inlineStr">
        <is>
          <t xml:space="preserve">Project / Use case</t>
        </is>
      </c>
      <c r="E56" t="inlineStr">
        <is>
          <t xml:space="preserve">AI/Copilot, Power Apps</t>
        </is>
      </c>
      <c r="F56" t="inlineStr">
        <is>
          <t xml:space="preserve">PowerApps</t>
        </is>
      </c>
      <c r="G56" t="inlineStr">
        <is>
          <t xml:space="preserve">Swami Nawale</t>
        </is>
      </c>
      <c r="H56" t="inlineStr">
        <is>
          <t xml:space="preserve"/>
        </is>
      </c>
      <c r="I56" t="inlineStr">
        <is>
          <t xml:space="preserve"/>
        </is>
      </c>
      <c r="J56" t="inlineStr">
        <is>
          <t xml:space="preserve">52 videos</t>
        </is>
      </c>
      <c r="K56" s="2" t="str">
        <f>HYPERLINK("https://www.youtube.com/playlist?list=PL3DonZvLYAD2Wwzqn9dZ7seNtcsOdrOhj","https://www.youtube.com/playlist?list=PL3DonZvLYAD2Wwzqn9dZ7seNtcsOdrOhj")</f>
        <v>https://www.youtube.com/playlist?list=PL3DonZvLYAD2Wwzqn9dZ7seNtcsOdrOhj</v>
      </c>
      <c r="L56" t="inlineStr">
        <is>
          <t xml:space="preserve">Playlist | PowerApps Inspection App with AI Photo Analysis · 6:33 | Claude Code For Power Apps: Prototype Before You Build · 29:20 | View full playlist | This playlist contains solution-focused videos built using Power Apps. You’ll see real-world app demos, practical use cases, and design patterns.T</t>
        </is>
      </c>
      <c r="M56" t="inlineStr">
        <is>
          <t xml:space="preserve">power apps power automate project</t>
        </is>
      </c>
    </row>
    <row r="57">
      <c r="A57" s="3">
        <v>56</v>
      </c>
      <c r="B57" t="inlineStr">
        <is>
          <t xml:space="preserve">Playlist</t>
        </is>
      </c>
      <c r="C57" t="inlineStr">
        <is>
          <t xml:space="preserve">English</t>
        </is>
      </c>
      <c r="D57" t="inlineStr">
        <is>
          <t xml:space="preserve">Project / Use case</t>
        </is>
      </c>
      <c r="E57" t="inlineStr">
        <is>
          <t xml:space="preserve"/>
        </is>
      </c>
      <c r="F57" t="inlineStr">
        <is>
          <t xml:space="preserve">✔️Get &amp; Visualize Project &amp; Task Data</t>
        </is>
      </c>
      <c r="G57" t="inlineStr">
        <is>
          <t xml:space="preserve">Christine Payton</t>
        </is>
      </c>
      <c r="H57" t="inlineStr">
        <is>
          <t xml:space="preserve"/>
        </is>
      </c>
      <c r="I57" t="inlineStr">
        <is>
          <t xml:space="preserve"/>
        </is>
      </c>
      <c r="J57" t="inlineStr">
        <is>
          <t xml:space="preserve">14 videos</t>
        </is>
      </c>
      <c r="K57" s="2" t="str">
        <f>HYPERLINK("https://www.youtube.com/playlist?list=PLVWnQj3YS9wvbJves79UWCQLTMNXcviy_","https://www.youtube.com/playlist?list=PLVWnQj3YS9wvbJves79UWCQLTMNXcviy_")</f>
        <v>https://www.youtube.com/playlist?list=PLVWnQj3YS9wvbJves79UWCQLTMNXcviy_</v>
      </c>
      <c r="L57" t="inlineStr">
        <is>
          <t xml:space="preserve">Playlist | Get Planner Task Details with Power Automate - Assignees, subtasks, buckets, dates! · 19:33 | Report on Planner Data in Power BI · 20:49 | View full playlist | Always challenge in Power BI, right?</t>
        </is>
      </c>
      <c r="M57" t="inlineStr">
        <is>
          <t xml:space="preserve">power automate project</t>
        </is>
      </c>
    </row>
    <row r="58">
      <c r="A58" s="3">
        <v>57</v>
      </c>
      <c r="B58" t="inlineStr">
        <is>
          <t xml:space="preserve">Video</t>
        </is>
      </c>
      <c r="C58" t="inlineStr">
        <is>
          <t xml:space="preserve">Hindi</t>
        </is>
      </c>
      <c r="D58" t="inlineStr">
        <is>
          <t xml:space="preserve">Project / Use case</t>
        </is>
      </c>
      <c r="E58" t="inlineStr">
        <is>
          <t xml:space="preserve">Excel, Email/Outlook</t>
        </is>
      </c>
      <c r="F58" t="inlineStr">
        <is>
          <t xml:space="preserve">Case Study: Power Automate Tutorial - Filtering Excel Data and Creating Email Loops [Hindi]</t>
        </is>
      </c>
      <c r="G58" t="inlineStr">
        <is>
          <t xml:space="preserve">Learn At Home</t>
        </is>
      </c>
      <c r="H58" s="3">
        <v>6284</v>
      </c>
      <c r="I58" t="inlineStr">
        <is>
          <t xml:space="preserve">2y ago</t>
        </is>
      </c>
      <c r="J58" t="inlineStr">
        <is>
          <t xml:space="preserve">21:39</t>
        </is>
      </c>
      <c r="K58" s="2" t="str">
        <f>HYPERLINK("https://www.youtube.com/watch?v=evwEdyv5vXM","https://www.youtube.com/watch?v=evwEdyv5vXM")</f>
        <v>https://www.youtube.com/watch?v=evwEdyv5vXM</v>
      </c>
      <c r="L58" t="inlineStr">
        <is>
          <t xml:space="preserve">Need Personal Help with Power BI, DAX, SQL, Power Automate or Microsoft Fabric? Stuck on a problem? Preparing for an ...</t>
        </is>
      </c>
      <c r="M58" t="inlineStr">
        <is>
          <t xml:space="preserve">power automate in hindi</t>
        </is>
      </c>
    </row>
    <row r="59">
      <c r="A59" s="3">
        <v>58</v>
      </c>
      <c r="B59" t="inlineStr">
        <is>
          <t xml:space="preserve">Video</t>
        </is>
      </c>
      <c r="C59" t="inlineStr">
        <is>
          <t xml:space="preserve">Hindi</t>
        </is>
      </c>
      <c r="D59" t="inlineStr">
        <is>
          <t xml:space="preserve">Project / Use case</t>
        </is>
      </c>
      <c r="E59" t="inlineStr">
        <is>
          <t xml:space="preserve"/>
        </is>
      </c>
      <c r="F59" t="inlineStr">
        <is>
          <t xml:space="preserve">Create a Real-Time Dashboard Using SQL Server, Power BI &amp; Power Automate (Hindi)</t>
        </is>
      </c>
      <c r="G59" t="inlineStr">
        <is>
          <t xml:space="preserve">KnowHow Academy Hindi</t>
        </is>
      </c>
      <c r="H59" s="3">
        <v>3949</v>
      </c>
      <c r="I59" t="inlineStr">
        <is>
          <t xml:space="preserve">1y ago</t>
        </is>
      </c>
      <c r="J59" t="inlineStr">
        <is>
          <t xml:space="preserve">22:20</t>
        </is>
      </c>
      <c r="K59" s="2" t="str">
        <f>HYPERLINK("https://www.youtube.com/watch?v=CivCsdavPlA","https://www.youtube.com/watch?v=CivCsdavPlA")</f>
        <v>https://www.youtube.com/watch?v=CivCsdavPlA</v>
      </c>
      <c r="L59" t="inlineStr">
        <is>
          <t xml:space="preserve">In this video of SQL, you will learn how to build a real-time executive dashboard using SQL Server, Power BI, and Power ...</t>
        </is>
      </c>
      <c r="M59" t="inlineStr">
        <is>
          <t xml:space="preserve">power automate project hindi</t>
        </is>
      </c>
    </row>
    <row r="60">
      <c r="A60" s="3">
        <v>59</v>
      </c>
      <c r="B60" t="inlineStr">
        <is>
          <t xml:space="preserve">Playlist</t>
        </is>
      </c>
      <c r="C60" t="inlineStr">
        <is>
          <t xml:space="preserve">Hindi</t>
        </is>
      </c>
      <c r="D60" t="inlineStr">
        <is>
          <t xml:space="preserve">Project / Use case</t>
        </is>
      </c>
      <c r="E60" t="inlineStr">
        <is>
          <t xml:space="preserve">AI/Copilot</t>
        </is>
      </c>
      <c r="F60" t="inlineStr">
        <is>
          <t xml:space="preserve">Learn Full Course on Make.com Ai Automation in Hindi &amp; Urdu for free | 2025</t>
        </is>
      </c>
      <c r="G60" t="inlineStr">
        <is>
          <t xml:space="preserve">Musharaf Khan</t>
        </is>
      </c>
      <c r="H60" t="inlineStr">
        <is>
          <t xml:space="preserve"/>
        </is>
      </c>
      <c r="I60" t="inlineStr">
        <is>
          <t xml:space="preserve"/>
        </is>
      </c>
      <c r="J60" t="inlineStr">
        <is>
          <t xml:space="preserve">9 videos</t>
        </is>
      </c>
      <c r="K60" s="2" t="str">
        <f>HYPERLINK("https://www.youtube.com/playlist?list=PLEnL96TUuJ_T7DFYx7bYlfWKDXRzDlvuo","https://www.youtube.com/playlist?list=PLEnL96TUuJ_T7DFYx7bYlfWKDXRzDlvuo")</f>
        <v>https://www.youtube.com/playlist?list=PLEnL96TUuJ_T7DFYx7bYlfWKDXRzDlvuo</v>
      </c>
      <c r="L60" t="inlineStr">
        <is>
          <t xml:space="preserve">Playlist | Make.com Masterclass | Learn Make.com Ai Automation | Full Course in Hindi &amp; Urdu | Chapter 1 · 25:30 | Make.com Masterclass | Learn Make.com Ai Automation | Full Course in Hindi &amp; Urdu | Chapter 2 · 13:06 | View full playlist | Welcome to the full comprehensive course for Make.com Ai Aut</t>
        </is>
      </c>
      <c r="M60" t="inlineStr">
        <is>
          <t xml:space="preserve">power automate full course hindi</t>
        </is>
      </c>
    </row>
  </sheetData>
  <autoFilter ref="A1:M60"/>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5" customWidth="1"/>
    <col min="2" max="2" width="9" customWidth="1"/>
    <col min="3" max="3" width="10" customWidth="1"/>
    <col min="4" max="4" width="18" customWidth="1"/>
    <col min="5" max="5" width="24" customWidth="1"/>
    <col min="6" max="6" width="60" customWidth="1"/>
    <col min="7" max="7" width="26" customWidth="1"/>
    <col min="8" max="8" width="12" customWidth="1"/>
    <col min="9" max="9" width="16" customWidth="1"/>
    <col min="10" max="10" width="14" customWidth="1"/>
    <col min="11" max="11" width="48" customWidth="1"/>
    <col min="12" max="12" width="70" customWidth="1"/>
    <col min="13" max="13" width="40" customWidth="1"/>
  </cols>
  <sheetData>
    <row r="1">
      <c r="A1" s="1" t="inlineStr">
        <is>
          <t>#</t>
        </is>
      </c>
      <c r="B1" s="1" t="inlineStr">
        <is>
          <t>Type</t>
        </is>
      </c>
      <c r="C1" s="1" t="inlineStr">
        <is>
          <t>Language</t>
        </is>
      </c>
      <c r="D1" s="1" t="inlineStr">
        <is>
          <t>Category</t>
        </is>
      </c>
      <c r="E1" s="1" t="inlineStr">
        <is>
          <t>Topic Areas</t>
        </is>
      </c>
      <c r="F1" s="1" t="inlineStr">
        <is>
          <t>Title</t>
        </is>
      </c>
      <c r="G1" s="1" t="inlineStr">
        <is>
          <t>Channel</t>
        </is>
      </c>
      <c r="H1" s="1" t="inlineStr">
        <is>
          <t>Views</t>
        </is>
      </c>
      <c r="I1" s="1" t="inlineStr">
        <is>
          <t>Published</t>
        </is>
      </c>
      <c r="J1" s="1" t="inlineStr">
        <is>
          <t>Duration / Videos</t>
        </is>
      </c>
      <c r="K1" s="1" t="inlineStr">
        <is>
          <t>Link</t>
        </is>
      </c>
      <c r="L1" s="1" t="inlineStr">
        <is>
          <t>Description (snippet)</t>
        </is>
      </c>
      <c r="M1" s="1" t="inlineStr">
        <is>
          <t>Found via search</t>
        </is>
      </c>
    </row>
    <row r="2">
      <c r="A2" s="3">
        <v>1</v>
      </c>
      <c r="B2" t="inlineStr">
        <is>
          <t xml:space="preserve">Video</t>
        </is>
      </c>
      <c r="C2" t="inlineStr">
        <is>
          <t xml:space="preserve">English</t>
        </is>
      </c>
      <c r="D2" t="inlineStr">
        <is>
          <t xml:space="preserve">Course</t>
        </is>
      </c>
      <c r="E2" t="inlineStr">
        <is>
          <t xml:space="preserve">Desktop/RPA, Web automation</t>
        </is>
      </c>
      <c r="F2" t="inlineStr">
        <is>
          <t xml:space="preserve">Web Scraping Made EASY With Power Automate Desktop - For FREE &amp; ZERO Coding</t>
        </is>
      </c>
      <c r="G2" t="inlineStr">
        <is>
          <t xml:space="preserve">Leila Gharani</t>
        </is>
      </c>
      <c r="H2" s="3">
        <v>1513782</v>
      </c>
      <c r="I2" t="inlineStr">
        <is>
          <t xml:space="preserve">4y ago</t>
        </is>
      </c>
      <c r="J2" t="inlineStr">
        <is>
          <t xml:space="preserve">13:11</t>
        </is>
      </c>
      <c r="K2" s="2" t="str">
        <f>HYPERLINK("https://www.youtube.com/watch?v=DgBZiBIgh3w","https://www.youtube.com/watch?v=DgBZiBIgh3w")</f>
        <v>https://www.youtube.com/watch?v=DgBZiBIgh3w</v>
      </c>
      <c r="L2" t="inlineStr">
        <is>
          <t xml:space="preserve">400000+ professionals trust our courses—start your journey here https://link.xelplus.com/yt-d-all-courses Unlock the potential of ...</t>
        </is>
      </c>
      <c r="M2" t="inlineStr">
        <is>
          <t xml:space="preserve">power automate desktop project</t>
        </is>
      </c>
    </row>
    <row r="3">
      <c r="A3" s="3">
        <v>2</v>
      </c>
      <c r="B3" t="inlineStr">
        <is>
          <t xml:space="preserve">Video</t>
        </is>
      </c>
      <c r="C3" t="inlineStr">
        <is>
          <t xml:space="preserve">English</t>
        </is>
      </c>
      <c r="D3" t="inlineStr">
        <is>
          <t xml:space="preserve">Course</t>
        </is>
      </c>
      <c r="E3" t="inlineStr">
        <is>
          <t xml:space="preserve"/>
        </is>
      </c>
      <c r="F3" t="inlineStr">
        <is>
          <t xml:space="preserve">Power Automate Beginner to Pro Tutorial [Full Course]</t>
        </is>
      </c>
      <c r="G3" t="inlineStr">
        <is>
          <t xml:space="preserve">Pragmatic Works</t>
        </is>
      </c>
      <c r="H3" s="3">
        <v>1224908</v>
      </c>
      <c r="I3" t="inlineStr">
        <is>
          <t xml:space="preserve">Streamed 4y ago</t>
        </is>
      </c>
      <c r="J3" t="inlineStr">
        <is>
          <t xml:space="preserve">2:51:54</t>
        </is>
      </c>
      <c r="K3" s="2" t="str">
        <f>HYPERLINK("https://www.youtube.com/watch?v=1p5kI7SYz4Q","https://www.youtube.com/watch?v=1p5kI7SYz4Q")</f>
        <v>https://www.youtube.com/watch?v=1p5kI7SYz4Q</v>
      </c>
      <c r="L3" t="inlineStr">
        <is>
          <t xml:space="preserve">UPDATED 2024 VERSION AVAILABLE HERE: https://youtube.com/live/KsgxDz-nY_I Power Automate is an automation tool ...</t>
        </is>
      </c>
      <c r="M3" t="inlineStr">
        <is>
          <t xml:space="preserve">power automate full course ; power automate tutorial for beginners ; power automate course</t>
        </is>
      </c>
    </row>
    <row r="4">
      <c r="A4" s="3">
        <v>3</v>
      </c>
      <c r="B4" t="inlineStr">
        <is>
          <t xml:space="preserve">Video</t>
        </is>
      </c>
      <c r="C4" t="inlineStr">
        <is>
          <t xml:space="preserve">English</t>
        </is>
      </c>
      <c r="D4" t="inlineStr">
        <is>
          <t xml:space="preserve">Course</t>
        </is>
      </c>
      <c r="E4" t="inlineStr">
        <is>
          <t xml:space="preserve">Email/Outlook, PDF</t>
        </is>
      </c>
      <c r="F4" t="inlineStr">
        <is>
          <t xml:space="preserve">Learn to Use Power Automate with Examples | Create Bulk PDF Files | Planner to Outlook</t>
        </is>
      </c>
      <c r="G4" t="inlineStr">
        <is>
          <t xml:space="preserve">Leila Gharani</t>
        </is>
      </c>
      <c r="H4" s="3">
        <v>1040284</v>
      </c>
      <c r="I4" t="inlineStr">
        <is>
          <t xml:space="preserve">5y ago</t>
        </is>
      </c>
      <c r="J4" t="inlineStr">
        <is>
          <t xml:space="preserve">14:59</t>
        </is>
      </c>
      <c r="K4" s="2" t="str">
        <f>HYPERLINK("https://www.youtube.com/watch?v=SUsik0FGzI0","https://www.youtube.com/watch?v=SUsik0FGzI0")</f>
        <v>https://www.youtube.com/watch?v=SUsik0FGzI0</v>
      </c>
      <c r="L4" t="inlineStr">
        <is>
          <t xml:space="preserve">400000+ professionals trust our courses—start your journey here https://link.xelplus.com/yt-d-all-courses Dive into the world of ...</t>
        </is>
      </c>
      <c r="M4" t="inlineStr">
        <is>
          <t xml:space="preserve">power automate tutorial for beginners ; পাওয়ার অটোমেট</t>
        </is>
      </c>
    </row>
    <row r="5">
      <c r="A5" s="3">
        <v>4</v>
      </c>
      <c r="B5" t="inlineStr">
        <is>
          <t xml:space="preserve">Video</t>
        </is>
      </c>
      <c r="C5" t="inlineStr">
        <is>
          <t xml:space="preserve">English</t>
        </is>
      </c>
      <c r="D5" t="inlineStr">
        <is>
          <t xml:space="preserve">Course</t>
        </is>
      </c>
      <c r="E5" t="inlineStr">
        <is>
          <t xml:space="preserve"/>
        </is>
      </c>
      <c r="F5" t="inlineStr">
        <is>
          <t xml:space="preserve">Power Automate Tutorial ⚡ Beginner To Pro [Full Course]</t>
        </is>
      </c>
      <c r="G5" t="inlineStr">
        <is>
          <t xml:space="preserve">Pragmatic Works</t>
        </is>
      </c>
      <c r="H5" s="3">
        <v>770049</v>
      </c>
      <c r="I5" t="inlineStr">
        <is>
          <t xml:space="preserve">Streamed 2y ago</t>
        </is>
      </c>
      <c r="J5" t="inlineStr">
        <is>
          <t xml:space="preserve">2:34:42</t>
        </is>
      </c>
      <c r="K5" s="2" t="str">
        <f>HYPERLINK("https://www.youtube.com/watch?v=KsgxDz-nY_I","https://www.youtube.com/watch?v=KsgxDz-nY_I")</f>
        <v>https://www.youtube.com/watch?v=KsgxDz-nY_I</v>
      </c>
      <c r="L5" t="inlineStr">
        <is>
          <t xml:space="preserve">Download your certificate of completion after you finish this course: ...</t>
        </is>
      </c>
      <c r="M5" t="inlineStr">
        <is>
          <t xml:space="preserve">power automate full course ; power automate tutorial for beginners ; power automate project ; power automate desktop full course ; power automate cloud flow tutorial ; power automate sharepoint automation ; PL-500 power automate RPA developer ; power automate advanced tutorial ; power automate course ; power automate tutorial playlist ; power automate full course hindi ; পাওয়ার অটোমেট</t>
        </is>
      </c>
    </row>
    <row r="6">
      <c r="A6" s="3">
        <v>5</v>
      </c>
      <c r="B6" t="inlineStr">
        <is>
          <t xml:space="preserve">Video</t>
        </is>
      </c>
      <c r="C6" t="inlineStr">
        <is>
          <t xml:space="preserve">English</t>
        </is>
      </c>
      <c r="D6" t="inlineStr">
        <is>
          <t xml:space="preserve">Course</t>
        </is>
      </c>
      <c r="E6" t="inlineStr">
        <is>
          <t xml:space="preserve"/>
        </is>
      </c>
      <c r="F6" t="inlineStr">
        <is>
          <t xml:space="preserve">Microsoft Power Platform Fundamentals (PL-900) — Full Course Pass the Exam!</t>
        </is>
      </c>
      <c r="G6" t="inlineStr">
        <is>
          <t xml:space="preserve">freeCodeCamp.org</t>
        </is>
      </c>
      <c r="H6" s="3">
        <v>658244</v>
      </c>
      <c r="I6" t="inlineStr">
        <is>
          <t xml:space="preserve">3y ago</t>
        </is>
      </c>
      <c r="J6" t="inlineStr">
        <is>
          <t xml:space="preserve">3:26:00</t>
        </is>
      </c>
      <c r="K6" s="2" t="str">
        <f>HYPERLINK("https://www.youtube.com/watch?v=ZTPcRWK0ytE","https://www.youtube.com/watch?v=ZTPcRWK0ytE")</f>
        <v>https://www.youtube.com/watch?v=ZTPcRWK0ytE</v>
      </c>
      <c r="L6" t="inlineStr">
        <is>
          <t xml:space="preserve">Prepare for the Microsoft Power Platform Fundamentals Certification (PL-900) and pass! Candidates for this exam aspire to ...</t>
        </is>
      </c>
      <c r="M6" t="inlineStr">
        <is>
          <t xml:space="preserve">PL-900 power platform</t>
        </is>
      </c>
    </row>
    <row r="7">
      <c r="A7" s="3">
        <v>6</v>
      </c>
      <c r="B7" t="inlineStr">
        <is>
          <t xml:space="preserve">Video</t>
        </is>
      </c>
      <c r="C7" t="inlineStr">
        <is>
          <t xml:space="preserve">English</t>
        </is>
      </c>
      <c r="D7" t="inlineStr">
        <is>
          <t xml:space="preserve">Course</t>
        </is>
      </c>
      <c r="E7" t="inlineStr">
        <is>
          <t xml:space="preserve">Excel</t>
        </is>
      </c>
      <c r="F7" t="inlineStr">
        <is>
          <t xml:space="preserve">How to use Office Scripts and Power Automate to do Boring Excel Tasks for You</t>
        </is>
      </c>
      <c r="G7" t="inlineStr">
        <is>
          <t xml:space="preserve">Leila Gharani</t>
        </is>
      </c>
      <c r="H7" s="3">
        <v>463435</v>
      </c>
      <c r="I7" t="inlineStr">
        <is>
          <t xml:space="preserve">5y ago</t>
        </is>
      </c>
      <c r="J7" t="inlineStr">
        <is>
          <t xml:space="preserve">12:05</t>
        </is>
      </c>
      <c r="K7" s="2" t="str">
        <f>HYPERLINK("https://www.youtube.com/watch?v=v-_joMcPpLI","https://www.youtube.com/watch?v=v-_joMcPpLI")</f>
        <v>https://www.youtube.com/watch?v=v-_joMcPpLI</v>
      </c>
      <c r="L7" t="inlineStr">
        <is>
          <t xml:space="preserve">Join 400000+ professionals in our courses here https://link.xelplus.com/yt-d-all-courses Learn how to effortlessly run Office ...</t>
        </is>
      </c>
      <c r="M7" t="inlineStr">
        <is>
          <t xml:space="preserve">power automate excel automation</t>
        </is>
      </c>
    </row>
    <row r="8">
      <c r="A8" s="3">
        <v>7</v>
      </c>
      <c r="B8" t="inlineStr">
        <is>
          <t xml:space="preserve">Video</t>
        </is>
      </c>
      <c r="C8" t="inlineStr">
        <is>
          <t xml:space="preserve">English</t>
        </is>
      </c>
      <c r="D8" t="inlineStr">
        <is>
          <t xml:space="preserve">Course</t>
        </is>
      </c>
      <c r="E8" t="inlineStr">
        <is>
          <t xml:space="preserve">Excel</t>
        </is>
      </c>
      <c r="F8" t="inlineStr">
        <is>
          <t xml:space="preserve">Streamline Excel: Power Automate Tricks You Need to Know!</t>
        </is>
      </c>
      <c r="G8" t="inlineStr">
        <is>
          <t xml:space="preserve">Leila Gharani</t>
        </is>
      </c>
      <c r="H8" s="3">
        <v>212807</v>
      </c>
      <c r="I8" t="inlineStr">
        <is>
          <t xml:space="preserve">5y ago</t>
        </is>
      </c>
      <c r="J8" t="inlineStr">
        <is>
          <t xml:space="preserve">14:34</t>
        </is>
      </c>
      <c r="K8" s="2" t="str">
        <f>HYPERLINK("https://www.youtube.com/watch?v=YBi9PgbnfLQ","https://www.youtube.com/watch?v=YBi9PgbnfLQ")</f>
        <v>https://www.youtube.com/watch?v=YBi9PgbnfLQ</v>
      </c>
      <c r="L8" t="inlineStr">
        <is>
          <t xml:space="preserve">Join 400000+ professionals in our courses here https://link.xelplus.com/yt-d-all-courses Master the art of integrating Excel with ...</t>
        </is>
      </c>
      <c r="M8" t="inlineStr">
        <is>
          <t xml:space="preserve">power automate excel automation</t>
        </is>
      </c>
    </row>
    <row r="9">
      <c r="A9" s="3">
        <v>8</v>
      </c>
      <c r="B9" t="inlineStr">
        <is>
          <t xml:space="preserve">Video</t>
        </is>
      </c>
      <c r="C9" t="inlineStr">
        <is>
          <t xml:space="preserve">English</t>
        </is>
      </c>
      <c r="D9" t="inlineStr">
        <is>
          <t xml:space="preserve">Course</t>
        </is>
      </c>
      <c r="E9" t="inlineStr">
        <is>
          <t xml:space="preserve">Power Apps</t>
        </is>
      </c>
      <c r="F9" t="inlineStr">
        <is>
          <t xml:space="preserve">PL-900 Full Course | Power Platform Fundamentals Certification Training</t>
        </is>
      </c>
      <c r="G9" t="inlineStr">
        <is>
          <t xml:space="preserve">A Guide to Cloud &amp; AI</t>
        </is>
      </c>
      <c r="H9" s="3">
        <v>153557</v>
      </c>
      <c r="I9" t="inlineStr">
        <is>
          <t xml:space="preserve">4y ago</t>
        </is>
      </c>
      <c r="J9" t="inlineStr">
        <is>
          <t xml:space="preserve">2:12:54</t>
        </is>
      </c>
      <c r="K9" s="2" t="str">
        <f>HYPERLINK("https://www.youtube.com/watch?v=lpsre6vWzCc","https://www.youtube.com/watch?v=lpsre6vWzCc")</f>
        <v>https://www.youtube.com/watch?v=lpsre6vWzCc</v>
      </c>
      <c r="L9" t="inlineStr">
        <is>
          <t xml:space="preserve">Learn Microsoft Power Platform tools like Power Apps, Power BI, and Power Automate. Perfect for beginners preparing for the ...</t>
        </is>
      </c>
      <c r="M9" t="inlineStr">
        <is>
          <t xml:space="preserve">PL-900 power platform</t>
        </is>
      </c>
    </row>
    <row r="10">
      <c r="A10" s="3">
        <v>9</v>
      </c>
      <c r="B10" t="inlineStr">
        <is>
          <t xml:space="preserve">Video</t>
        </is>
      </c>
      <c r="C10" t="inlineStr">
        <is>
          <t xml:space="preserve">English</t>
        </is>
      </c>
      <c r="D10" t="inlineStr">
        <is>
          <t xml:space="preserve">Course</t>
        </is>
      </c>
      <c r="E10" t="inlineStr">
        <is>
          <t xml:space="preserve">Desktop/RPA</t>
        </is>
      </c>
      <c r="F10" t="inlineStr">
        <is>
          <t xml:space="preserve">Microsoft Power Automate Desktop - Beginners Course</t>
        </is>
      </c>
      <c r="G10" t="inlineStr">
        <is>
          <t xml:space="preserve">Anders Jensen</t>
        </is>
      </c>
      <c r="H10" s="3">
        <v>69426</v>
      </c>
      <c r="I10" t="inlineStr">
        <is>
          <t xml:space="preserve">3y ago</t>
        </is>
      </c>
      <c r="J10" t="inlineStr">
        <is>
          <t xml:space="preserve">1:52:05</t>
        </is>
      </c>
      <c r="K10" s="2" t="str">
        <f>HYPERLINK("https://www.youtube.com/watch?v=qfpHqfp2R3Y","https://www.youtube.com/watch?v=qfpHqfp2R3Y")</f>
        <v>https://www.youtube.com/watch?v=qfpHqfp2R3Y</v>
      </c>
      <c r="L10" t="inlineStr">
        <is>
          <t xml:space="preserve">Learn Power Automate Desktop in less than two hours on this 2023 beginners course. In the real-time tutorial, you and I will build ...</t>
        </is>
      </c>
      <c r="M10" t="inlineStr">
        <is>
          <t xml:space="preserve">power automate desktop full course</t>
        </is>
      </c>
    </row>
    <row r="11">
      <c r="A11" s="3">
        <v>10</v>
      </c>
      <c r="B11" t="inlineStr">
        <is>
          <t xml:space="preserve">Video</t>
        </is>
      </c>
      <c r="C11" t="inlineStr">
        <is>
          <t xml:space="preserve">English</t>
        </is>
      </c>
      <c r="D11" t="inlineStr">
        <is>
          <t xml:space="preserve">Course</t>
        </is>
      </c>
      <c r="E11" t="inlineStr">
        <is>
          <t xml:space="preserve">Desktop/RPA</t>
        </is>
      </c>
      <c r="F11" t="inlineStr">
        <is>
          <t xml:space="preserve">Power Automate Desktop Tutorial for Beginners | Zero to Hero</t>
        </is>
      </c>
      <c r="G11" t="inlineStr">
        <is>
          <t xml:space="preserve">Thomas Janssen</t>
        </is>
      </c>
      <c r="H11" s="3">
        <v>38351</v>
      </c>
      <c r="I11" t="inlineStr">
        <is>
          <t xml:space="preserve">3y ago</t>
        </is>
      </c>
      <c r="J11" t="inlineStr">
        <is>
          <t xml:space="preserve">1:57:55</t>
        </is>
      </c>
      <c r="K11" s="2" t="str">
        <f>HYPERLINK("https://www.youtube.com/watch?v=Y35ZJs16APQ","https://www.youtube.com/watch?v=Y35ZJs16APQ")</f>
        <v>https://www.youtube.com/watch?v=Y35ZJs16APQ</v>
      </c>
      <c r="L11" t="inlineStr">
        <is>
          <t xml:space="preserve">In this complete Power Automate Desktop beginners course you will learn all the basics about PAD! Within the first 15 minutes you ... Thank you for watching you've chosen the most complete power automate desktop tutorial on the internet my name is Thomas ...</t>
        </is>
      </c>
      <c r="M11" t="inlineStr">
        <is>
          <t xml:space="preserve">power automate desktop full course</t>
        </is>
      </c>
    </row>
    <row r="12">
      <c r="A12" s="3">
        <v>11</v>
      </c>
      <c r="B12" t="inlineStr">
        <is>
          <t xml:space="preserve">Video</t>
        </is>
      </c>
      <c r="C12" t="inlineStr">
        <is>
          <t xml:space="preserve">English</t>
        </is>
      </c>
      <c r="D12" t="inlineStr">
        <is>
          <t xml:space="preserve">Course</t>
        </is>
      </c>
      <c r="E12" t="inlineStr">
        <is>
          <t xml:space="preserve">Desktop/RPA</t>
        </is>
      </c>
      <c r="F12" t="inlineStr">
        <is>
          <t xml:space="preserve">Microsoft Power Automate Desktop 2023 -  RPA MasterClass (Complete Practical Course)</t>
        </is>
      </c>
      <c r="G12" t="inlineStr">
        <is>
          <t xml:space="preserve">Sharath Raju</t>
        </is>
      </c>
      <c r="H12" s="3">
        <v>19524</v>
      </c>
      <c r="I12" t="inlineStr">
        <is>
          <t xml:space="preserve">3y ago</t>
        </is>
      </c>
      <c r="J12" t="inlineStr">
        <is>
          <t xml:space="preserve">4:19:52</t>
        </is>
      </c>
      <c r="K12" s="2" t="str">
        <f>HYPERLINK("https://www.youtube.com/watch?v=VSAkqqHCUts","https://www.youtube.com/watch?v=VSAkqqHCUts")</f>
        <v>https://www.youtube.com/watch?v=VSAkqqHCUts</v>
      </c>
      <c r="L12" t="inlineStr">
        <is>
          <t xml:space="preserve">Microsoft Power Automate Flow Desktop Course Source Code: ...</t>
        </is>
      </c>
      <c r="M12" t="inlineStr">
        <is>
          <t xml:space="preserve">power automate desktop full course ; PL-500 power automate RPA developer</t>
        </is>
      </c>
    </row>
    <row r="13">
      <c r="A13" s="3">
        <v>12</v>
      </c>
      <c r="B13" t="inlineStr">
        <is>
          <t xml:space="preserve">Video</t>
        </is>
      </c>
      <c r="C13" t="inlineStr">
        <is>
          <t xml:space="preserve">English</t>
        </is>
      </c>
      <c r="D13" t="inlineStr">
        <is>
          <t xml:space="preserve">Course</t>
        </is>
      </c>
      <c r="E13" t="inlineStr">
        <is>
          <t xml:space="preserve"/>
        </is>
      </c>
      <c r="F13" t="inlineStr">
        <is>
          <t xml:space="preserve">Microsoft Power Platform Fundamentals - FREE Full Course [2025]</t>
        </is>
      </c>
      <c r="G13" t="inlineStr">
        <is>
          <t xml:space="preserve">Powercademy</t>
        </is>
      </c>
      <c r="H13" s="3">
        <v>17243</v>
      </c>
      <c r="I13" t="inlineStr">
        <is>
          <t xml:space="preserve">1y ago</t>
        </is>
      </c>
      <c r="J13" t="inlineStr">
        <is>
          <t xml:space="preserve">2:14:20</t>
        </is>
      </c>
      <c r="K13" s="2" t="str">
        <f>HYPERLINK("https://www.youtube.com/watch?v=CiRhM251Spw","https://www.youtube.com/watch?v=CiRhM251Spw")</f>
        <v>https://www.youtube.com/watch?v=CiRhM251Spw</v>
      </c>
      <c r="L13" t="inlineStr">
        <is>
          <t xml:space="preserve">Check out Powercademy.com for exclusive programs, new courses, and a thriving community to help you level up your Power ... ... the certification details screen So here I'm on the PL900 Microsoft Certified Power Platform Fundamentals Certification That was ...</t>
        </is>
      </c>
      <c r="M13" t="inlineStr">
        <is>
          <t xml:space="preserve">PL-900 power platform</t>
        </is>
      </c>
    </row>
    <row r="14">
      <c r="A14" s="3">
        <v>13</v>
      </c>
      <c r="B14" t="inlineStr">
        <is>
          <t xml:space="preserve">Video</t>
        </is>
      </c>
      <c r="C14" t="inlineStr">
        <is>
          <t xml:space="preserve">English</t>
        </is>
      </c>
      <c r="D14" t="inlineStr">
        <is>
          <t xml:space="preserve">Course</t>
        </is>
      </c>
      <c r="E14" t="inlineStr">
        <is>
          <t xml:space="preserve">Web automation</t>
        </is>
      </c>
      <c r="F14" t="inlineStr">
        <is>
          <t xml:space="preserve">How To Prepare for the PL-900 Microsoft Power Platform Fundamentals Certification Exam [Full Course]</t>
        </is>
      </c>
      <c r="G14" t="inlineStr">
        <is>
          <t xml:space="preserve">Pragmatic Works</t>
        </is>
      </c>
      <c r="H14" s="3">
        <v>15907</v>
      </c>
      <c r="I14" t="inlineStr">
        <is>
          <t xml:space="preserve">Streamed 2y ago</t>
        </is>
      </c>
      <c r="J14" t="inlineStr">
        <is>
          <t xml:space="preserve">55:30</t>
        </is>
      </c>
      <c r="K14" s="2" t="str">
        <f>HYPERLINK("https://www.youtube.com/watch?v=wLWmkf-S7jw","https://www.youtube.com/watch?v=wLWmkf-S7jw")</f>
        <v>https://www.youtube.com/watch?v=wLWmkf-S7jw</v>
      </c>
      <c r="L14" t="inlineStr">
        <is>
          <t xml:space="preserve">This webinar is ideal for anyone preparing for the PL-900 exam. Join Jonathon Silva as he provides a solid foundation in the ...</t>
        </is>
      </c>
      <c r="M14" t="inlineStr">
        <is>
          <t xml:space="preserve">PL-900 power platform</t>
        </is>
      </c>
    </row>
    <row r="15">
      <c r="A15" s="3">
        <v>14</v>
      </c>
      <c r="B15" t="inlineStr">
        <is>
          <t xml:space="preserve">Video</t>
        </is>
      </c>
      <c r="C15" t="inlineStr">
        <is>
          <t xml:space="preserve">English</t>
        </is>
      </c>
      <c r="D15" t="inlineStr">
        <is>
          <t xml:space="preserve">Course</t>
        </is>
      </c>
      <c r="E15" t="inlineStr">
        <is>
          <t xml:space="preserve"/>
        </is>
      </c>
      <c r="F15" t="inlineStr">
        <is>
          <t xml:space="preserve">PL-900 Power Platform Fundamentals Full Crash Course</t>
        </is>
      </c>
      <c r="G15" t="inlineStr">
        <is>
          <t xml:space="preserve">Tech With Shapingpixel</t>
        </is>
      </c>
      <c r="H15" s="3">
        <v>810</v>
      </c>
      <c r="I15" t="inlineStr">
        <is>
          <t xml:space="preserve">1mo ago</t>
        </is>
      </c>
      <c r="J15" t="inlineStr">
        <is>
          <t xml:space="preserve">1:21:57</t>
        </is>
      </c>
      <c r="K15" s="2" t="str">
        <f>HYPERLINK("https://www.youtube.com/watch?v=kLW86Ydvyvg","https://www.youtube.com/watch?v=kLW86Ydvyvg")</f>
        <v>https://www.youtube.com/watch?v=kLW86Ydvyvg</v>
      </c>
      <c r="L15" t="inlineStr">
        <is>
          <t xml:space="preserve">Join Our YouTube Channel Membership – Elevate Your Learning Experience! Unlock exclusive benefits and take your IT ...</t>
        </is>
      </c>
      <c r="M15" t="inlineStr">
        <is>
          <t xml:space="preserve">PL-900 power platform</t>
        </is>
      </c>
    </row>
    <row r="16">
      <c r="A16" s="3">
        <v>15</v>
      </c>
      <c r="B16" t="inlineStr">
        <is>
          <t xml:space="preserve">Video</t>
        </is>
      </c>
      <c r="C16" t="inlineStr">
        <is>
          <t xml:space="preserve">English</t>
        </is>
      </c>
      <c r="D16" t="inlineStr">
        <is>
          <t xml:space="preserve">Course</t>
        </is>
      </c>
      <c r="E16" t="inlineStr">
        <is>
          <t xml:space="preserve">Desktop/RPA</t>
        </is>
      </c>
      <c r="F16" t="inlineStr">
        <is>
          <t xml:space="preserve">Microsoft PL-500 Power Automate RPA Developer Exam Prep: Full Course</t>
        </is>
      </c>
      <c r="G16" t="inlineStr">
        <is>
          <t xml:space="preserve">Exam Pass Pro</t>
        </is>
      </c>
      <c r="H16" s="3">
        <v>261</v>
      </c>
      <c r="I16" t="inlineStr">
        <is>
          <t xml:space="preserve">3mo ago</t>
        </is>
      </c>
      <c r="J16" t="inlineStr">
        <is>
          <t xml:space="preserve">2:56:50</t>
        </is>
      </c>
      <c r="K16" s="2" t="str">
        <f>HYPERLINK("https://www.youtube.com/watch?v=nIsyptoJo98","https://www.youtube.com/watch?v=nIsyptoJo98")</f>
        <v>https://www.youtube.com/watch?v=nIsyptoJo98</v>
      </c>
      <c r="L16" t="inlineStr">
        <is>
          <t xml:space="preserve">Master the art of enterprise automation and ace the Microsoft PL-500 exam with this comprehensive developer guide! From ...</t>
        </is>
      </c>
      <c r="M16" t="inlineStr">
        <is>
          <t xml:space="preserve">PL-500 power automate RPA developer</t>
        </is>
      </c>
    </row>
    <row r="17">
      <c r="A17" s="3">
        <v>16</v>
      </c>
      <c r="B17" t="inlineStr">
        <is>
          <t xml:space="preserve">Playlist</t>
        </is>
      </c>
      <c r="C17" t="inlineStr">
        <is>
          <t xml:space="preserve">English</t>
        </is>
      </c>
      <c r="D17" t="inlineStr">
        <is>
          <t xml:space="preserve">Course</t>
        </is>
      </c>
      <c r="E17" t="inlineStr">
        <is>
          <t xml:space="preserve"/>
        </is>
      </c>
      <c r="F17" t="inlineStr">
        <is>
          <t xml:space="preserve">Learn Power Automate - Tutorials</t>
        </is>
      </c>
      <c r="G17" t="inlineStr">
        <is>
          <t xml:space="preserve">Pragmatic Works</t>
        </is>
      </c>
      <c r="H17" t="inlineStr">
        <is>
          <t xml:space="preserve"/>
        </is>
      </c>
      <c r="I17" t="inlineStr">
        <is>
          <t xml:space="preserve"/>
        </is>
      </c>
      <c r="J17" t="inlineStr">
        <is>
          <t xml:space="preserve">96 videos</t>
        </is>
      </c>
      <c r="K17" s="2" t="str">
        <f>HYPERLINK("https://www.youtube.com/playlist?list=PLcwrIWK7WBcRJOEMXnYvxcAfwyTMvGZVi","https://www.youtube.com/playlist?list=PLcwrIWK7WBcRJOEMXnYvxcAfwyTMvGZVi")</f>
        <v>https://www.youtube.com/playlist?list=PLcwrIWK7WBcRJOEMXnYvxcAfwyTMvGZVi</v>
      </c>
      <c r="L17" t="inlineStr">
        <is>
          <t xml:space="preserve">Playlist | Updated 4 days ago | Power Automate Tutorial ⚡ Beginner To Pro [Full Course] · 2:34:42 | Power Automate Beginner to Pro Tutorial [Full Course] · 2:51:54 | View full playlist | Learn Microsoft Power Automate with a series of tutorial training videos from Pragmatic Works. Accelerate your wo</t>
        </is>
      </c>
      <c r="M17" t="inlineStr">
        <is>
          <t xml:space="preserve">power automate full course ; power automate tutorial for beginners ; power automate project ; power automate desktop full course ; power automate cloud flow tutorial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microsoft power automate bangla tutorial ; পাওয়ার অটোমেট</t>
        </is>
      </c>
    </row>
    <row r="18">
      <c r="A18" s="3">
        <v>17</v>
      </c>
      <c r="B18" t="inlineStr">
        <is>
          <t xml:space="preserve">Playlist</t>
        </is>
      </c>
      <c r="C18" t="inlineStr">
        <is>
          <t xml:space="preserve">English</t>
        </is>
      </c>
      <c r="D18" t="inlineStr">
        <is>
          <t xml:space="preserve">Course</t>
        </is>
      </c>
      <c r="E18" t="inlineStr">
        <is>
          <t xml:space="preserve"/>
        </is>
      </c>
      <c r="F18" t="inlineStr">
        <is>
          <t xml:space="preserve">Power Automate | Flow | Power Platform</t>
        </is>
      </c>
      <c r="G18" t="inlineStr">
        <is>
          <t xml:space="preserve">Leila Gharani</t>
        </is>
      </c>
      <c r="H18" t="inlineStr">
        <is>
          <t xml:space="preserve"/>
        </is>
      </c>
      <c r="I18" t="inlineStr">
        <is>
          <t xml:space="preserve"/>
        </is>
      </c>
      <c r="J18" t="inlineStr">
        <is>
          <t xml:space="preserve">11 videos</t>
        </is>
      </c>
      <c r="K18" s="2" t="str">
        <f>HYPERLINK("https://www.youtube.com/playlist?list=PLmHVyfmcRKyy3jmMCBbNaDCNNXIZdeUY1","https://www.youtube.com/playlist?list=PLmHVyfmcRKyy3jmMCBbNaDCNNXIZdeUY1")</f>
        <v>https://www.youtube.com/playlist?list=PLmHVyfmcRKyy3jmMCBbNaDCNNXIZdeUY1</v>
      </c>
      <c r="L18" t="inlineStr">
        <is>
          <t xml:space="preserve">Playlist | View full playlist</t>
        </is>
      </c>
      <c r="M18" t="inlineStr">
        <is>
          <t xml:space="preserve">power automate full course ; power automate project ; power automate real world project ; power automate cloud flow tutorial ; power apps power automate project ; power automate course ; power automate tutorial playlist ; পাওয়ার অটোমেট</t>
        </is>
      </c>
    </row>
    <row r="19">
      <c r="A19" s="3">
        <v>18</v>
      </c>
      <c r="B19" t="inlineStr">
        <is>
          <t xml:space="preserve">Playlist</t>
        </is>
      </c>
      <c r="C19" t="inlineStr">
        <is>
          <t xml:space="preserve">English</t>
        </is>
      </c>
      <c r="D19" t="inlineStr">
        <is>
          <t xml:space="preserve">Course</t>
        </is>
      </c>
      <c r="E19" t="inlineStr">
        <is>
          <t xml:space="preserve">Desktop/RPA</t>
        </is>
      </c>
      <c r="F19" t="inlineStr">
        <is>
          <t xml:space="preserve">Power Automate Desktop – RPA (Robotic Process Automation)</t>
        </is>
      </c>
      <c r="G19" t="inlineStr">
        <is>
          <t xml:space="preserve">Pragmatic Works</t>
        </is>
      </c>
      <c r="H19" t="inlineStr">
        <is>
          <t xml:space="preserve"/>
        </is>
      </c>
      <c r="I19" t="inlineStr">
        <is>
          <t xml:space="preserve"/>
        </is>
      </c>
      <c r="J19" t="inlineStr">
        <is>
          <t xml:space="preserve">7 videos</t>
        </is>
      </c>
      <c r="K19" s="2" t="str">
        <f>HYPERLINK("https://www.youtube.com/playlist?list=PLcwrIWK7WBcRcGoBUCiOyxI4uLeHqHliZ","https://www.youtube.com/playlist?list=PLcwrIWK7WBcRcGoBUCiOyxI4uLeHqHliZ")</f>
        <v>https://www.youtube.com/playlist?list=PLcwrIWK7WBcRcGoBUCiOyxI4uLeHqHliZ</v>
      </c>
      <c r="L19" t="inlineStr">
        <is>
          <t xml:space="preserve">Playlist | View full playlist</t>
        </is>
      </c>
      <c r="M19" t="inlineStr">
        <is>
          <t xml:space="preserve">power automate full course ; power automate desktop project ; power automate course ; power automate tutorial playlist</t>
        </is>
      </c>
    </row>
    <row r="20">
      <c r="A20" s="3">
        <v>19</v>
      </c>
      <c r="B20" t="inlineStr">
        <is>
          <t xml:space="preserve">Playlist</t>
        </is>
      </c>
      <c r="C20" t="inlineStr">
        <is>
          <t xml:space="preserve">English</t>
        </is>
      </c>
      <c r="D20" t="inlineStr">
        <is>
          <t xml:space="preserve">Course</t>
        </is>
      </c>
      <c r="E20" t="inlineStr">
        <is>
          <t xml:space="preserve"/>
        </is>
      </c>
      <c r="F20" t="inlineStr">
        <is>
          <t xml:space="preserve">Power Automate</t>
        </is>
      </c>
      <c r="G20" t="inlineStr">
        <is>
          <t xml:space="preserve">Kevin Stratvert</t>
        </is>
      </c>
      <c r="H20" t="inlineStr">
        <is>
          <t xml:space="preserve"/>
        </is>
      </c>
      <c r="I20" t="inlineStr">
        <is>
          <t xml:space="preserve"/>
        </is>
      </c>
      <c r="J20" t="inlineStr">
        <is>
          <t xml:space="preserve">7 videos</t>
        </is>
      </c>
      <c r="K20" s="2" t="str">
        <f>HYPERLINK("https://www.youtube.com/playlist?list=PLlKpQrBME6xKE_fxQ_YzHVV7HluHpifW9","https://www.youtube.com/playlist?list=PLlKpQrBME6xKE_fxQ_YzHVV7HluHpifW9")</f>
        <v>https://www.youtube.com/playlist?list=PLlKpQrBME6xKE_fxQ_YzHVV7HluHpifW9</v>
      </c>
      <c r="L20" t="inlineStr">
        <is>
          <t xml:space="preserve">Playlist | View full playlist</t>
        </is>
      </c>
      <c r="M20" t="inlineStr">
        <is>
          <t xml:space="preserve">power automate full course ; power automate course ; power automate tutorial playlist</t>
        </is>
      </c>
    </row>
    <row r="21">
      <c r="A21" s="3">
        <v>20</v>
      </c>
      <c r="B21" t="inlineStr">
        <is>
          <t xml:space="preserve">Playlist</t>
        </is>
      </c>
      <c r="C21" t="inlineStr">
        <is>
          <t xml:space="preserve">English</t>
        </is>
      </c>
      <c r="D21" t="inlineStr">
        <is>
          <t xml:space="preserve">Course</t>
        </is>
      </c>
      <c r="E21" t="inlineStr">
        <is>
          <t xml:space="preserve"/>
        </is>
      </c>
      <c r="F21" t="inlineStr">
        <is>
          <t xml:space="preserve">Power Automate Beginner Course</t>
        </is>
      </c>
      <c r="G21" t="inlineStr">
        <is>
          <t xml:space="preserve">TheOyinbooke</t>
        </is>
      </c>
      <c r="H21" t="inlineStr">
        <is>
          <t xml:space="preserve"/>
        </is>
      </c>
      <c r="I21" t="inlineStr">
        <is>
          <t xml:space="preserve"/>
        </is>
      </c>
      <c r="J21" t="inlineStr">
        <is>
          <t xml:space="preserve">23 videos</t>
        </is>
      </c>
      <c r="K21" s="2" t="str">
        <f>HYPERLINK("https://www.youtube.com/playlist?list=PL21kTsq1t_-kghr8KDQ4bLZlb-yoLMOiE","https://www.youtube.com/playlist?list=PL21kTsq1t_-kghr8KDQ4bLZlb-yoLMOiE")</f>
        <v>https://www.youtube.com/playlist?list=PL21kTsq1t_-kghr8KDQ4bLZlb-yoLMOiE</v>
      </c>
      <c r="L21" t="inlineStr">
        <is>
          <t xml:space="preserve">Playlist | View full playlist</t>
        </is>
      </c>
      <c r="M21" t="inlineStr">
        <is>
          <t xml:space="preserve">power automate full course</t>
        </is>
      </c>
    </row>
    <row r="22">
      <c r="A22" s="3">
        <v>21</v>
      </c>
      <c r="B22" t="inlineStr">
        <is>
          <t xml:space="preserve">Playlist</t>
        </is>
      </c>
      <c r="C22" t="inlineStr">
        <is>
          <t xml:space="preserve">English</t>
        </is>
      </c>
      <c r="D22" t="inlineStr">
        <is>
          <t xml:space="preserve">Course</t>
        </is>
      </c>
      <c r="E22" t="inlineStr">
        <is>
          <t xml:space="preserve"/>
        </is>
      </c>
      <c r="F22" t="inlineStr">
        <is>
          <t xml:space="preserve">Microsoft Power Automate</t>
        </is>
      </c>
      <c r="G22" t="inlineStr">
        <is>
          <t xml:space="preserve">Shane Young</t>
        </is>
      </c>
      <c r="H22" t="inlineStr">
        <is>
          <t xml:space="preserve"/>
        </is>
      </c>
      <c r="I22" t="inlineStr">
        <is>
          <t xml:space="preserve"/>
        </is>
      </c>
      <c r="J22" t="inlineStr">
        <is>
          <t xml:space="preserve">103 videos</t>
        </is>
      </c>
      <c r="K22" s="2" t="str">
        <f>HYPERLINK("https://www.youtube.com/playlist?list=PLCGGtLsUjhm3pgu2X0tgjnl3BX1MlnT1t","https://www.youtube.com/playlist?list=PLCGGtLsUjhm3pgu2X0tgjnl3BX1MlnT1t")</f>
        <v>https://www.youtube.com/playlist?list=PLCGGtLsUjhm3pgu2X0tgjnl3BX1MlnT1t</v>
      </c>
      <c r="L22" t="inlineStr">
        <is>
          <t xml:space="preserve">Playlist | View full playlist</t>
        </is>
      </c>
      <c r="M22" t="inlineStr">
        <is>
          <t xml:space="preserve">power automate full course</t>
        </is>
      </c>
    </row>
    <row r="23">
      <c r="A23" s="3">
        <v>22</v>
      </c>
      <c r="B23" t="inlineStr">
        <is>
          <t xml:space="preserve">Playlist</t>
        </is>
      </c>
      <c r="C23" t="inlineStr">
        <is>
          <t xml:space="preserve">English</t>
        </is>
      </c>
      <c r="D23" t="inlineStr">
        <is>
          <t xml:space="preserve">Course</t>
        </is>
      </c>
      <c r="E23" t="inlineStr">
        <is>
          <t xml:space="preserve">Desktop/RPA, Teams, AI/Copilot</t>
        </is>
      </c>
      <c r="F23" t="inlineStr">
        <is>
          <t xml:space="preserve">Microsoft Power Automate Tutorials</t>
        </is>
      </c>
      <c r="G23" t="inlineStr">
        <is>
          <t xml:space="preserve">Learn RPA &amp; AI Technologies every day</t>
        </is>
      </c>
      <c r="H23" t="inlineStr">
        <is>
          <t xml:space="preserve"/>
        </is>
      </c>
      <c r="I23" t="inlineStr">
        <is>
          <t xml:space="preserve"/>
        </is>
      </c>
      <c r="J23" t="inlineStr">
        <is>
          <t xml:space="preserve">52 videos</t>
        </is>
      </c>
      <c r="K23" s="2" t="str">
        <f>HYPERLINK("https://www.youtube.com/playlist?list=PLZVSOFwGx4zA3MluKzbxq5Nx18gj5kt5d","https://www.youtube.com/playlist?list=PLZVSOFwGx4zA3MluKzbxq5Nx18gj5kt5d")</f>
        <v>https://www.youtube.com/playlist?list=PLZVSOFwGx4zA3MluKzbxq5Nx18gj5kt5d</v>
      </c>
      <c r="L23" t="inlineStr">
        <is>
          <t xml:space="preserve">Playlist | Microsoft Power Automate Tutorials - Module 1 : Introduction To Microsoft Power Automate · 8:40 | Microsoft Power Automate Tutorials || Module 2 : How to Sign up and sign in for Power Automate old · 12:58 | View full playlist | Microsoft Power Automate, Power Automate, Power Automate Desk</t>
        </is>
      </c>
      <c r="M23" t="inlineStr">
        <is>
          <t xml:space="preserve">power automate full course ; power automate tutorial for beginners ; power automate project ; power automate desktop full course ; power automate cloud flow tutorial ; PL-500 power automate RPA developer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24">
      <c r="A24" s="3">
        <v>23</v>
      </c>
      <c r="B24" t="inlineStr">
        <is>
          <t xml:space="preserve">Playlist</t>
        </is>
      </c>
      <c r="C24" t="inlineStr">
        <is>
          <t xml:space="preserve">English</t>
        </is>
      </c>
      <c r="D24" t="inlineStr">
        <is>
          <t xml:space="preserve">Course</t>
        </is>
      </c>
      <c r="E24" t="inlineStr">
        <is>
          <t xml:space="preserve">Desktop/RPA, Teams, AI/Copilot</t>
        </is>
      </c>
      <c r="F24" t="inlineStr">
        <is>
          <t xml:space="preserve">Microsoft Power Automate Desktop Tutorials from Beginners to Expert</t>
        </is>
      </c>
      <c r="G24" t="inlineStr">
        <is>
          <t xml:space="preserve">Learn RPA &amp; AI Technologies every day</t>
        </is>
      </c>
      <c r="H24" t="inlineStr">
        <is>
          <t xml:space="preserve"/>
        </is>
      </c>
      <c r="I24" t="inlineStr">
        <is>
          <t xml:space="preserve"/>
        </is>
      </c>
      <c r="J24" t="inlineStr">
        <is>
          <t xml:space="preserve">330 videos</t>
        </is>
      </c>
      <c r="K24" s="2" t="str">
        <f>HYPERLINK("https://www.youtube.com/playlist?list=PLZVSOFwGx4zDK7apie3GqgfX6Tu2kmpMA","https://www.youtube.com/playlist?list=PLZVSOFwGx4zDK7apie3GqgfX6Tu2kmpMA")</f>
        <v>https://www.youtube.com/playlist?list=PLZVSOFwGx4zDK7apie3GqgfX6Tu2kmpMA</v>
      </c>
      <c r="L24" t="inlineStr">
        <is>
          <t xml:space="preserve">Playlist | Power Automate Desktop is now FREE for Windows 10 users (Microsoft Ignite 2021) · 10:20 | Microsoft Power Automate Desktop (Preview) Part 1 · 3:51 | View full playlist | Microsoft Power Automate, Power Automate, Power Automate Desktop, Microsoft Power Automate Desktop, Microsoft Power Aut</t>
        </is>
      </c>
      <c r="M24" t="inlineStr">
        <is>
          <t xml:space="preserve">power automate full course ; power automate tutorial for beginners ; power automate project ; power automate real world project ; power automate desktop full course ; power automate desktop project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25">
      <c r="A25" s="3">
        <v>24</v>
      </c>
      <c r="B25" t="inlineStr">
        <is>
          <t xml:space="preserve">Playlist</t>
        </is>
      </c>
      <c r="C25" t="inlineStr">
        <is>
          <t xml:space="preserve">English</t>
        </is>
      </c>
      <c r="D25" t="inlineStr">
        <is>
          <t xml:space="preserve">Course</t>
        </is>
      </c>
      <c r="E25" t="inlineStr">
        <is>
          <t xml:space="preserve">Desktop/RPA, AI/Copilot</t>
        </is>
      </c>
      <c r="F25" t="inlineStr">
        <is>
          <t xml:space="preserve">Power Automate Desktop Full Course – Scratch to Pro | Course Overview</t>
        </is>
      </c>
      <c r="G25" t="inlineStr">
        <is>
          <t xml:space="preserve">Vijayendra Rao</t>
        </is>
      </c>
      <c r="H25" t="inlineStr">
        <is>
          <t xml:space="preserve"/>
        </is>
      </c>
      <c r="I25" t="inlineStr">
        <is>
          <t xml:space="preserve"/>
        </is>
      </c>
      <c r="J25" t="inlineStr">
        <is>
          <t xml:space="preserve">21 videos</t>
        </is>
      </c>
      <c r="K25" s="2" t="str">
        <f>HYPERLINK("https://www.youtube.com/playlist?list=PLf8NPL8BrW9A7VZYRgulpjbWxVLG_OKmS","https://www.youtube.com/playlist?list=PLf8NPL8BrW9A7VZYRgulpjbWxVLG_OKmS")</f>
        <v>https://www.youtube.com/playlist?list=PLf8NPL8BrW9A7VZYRgulpjbWxVLG_OKmS</v>
      </c>
      <c r="L25" t="inlineStr">
        <is>
          <t xml:space="preserve">Playlist | Learn RPA Power Automate Desktop – Full Course Topics · 16:20 | RPA Basics &amp; Installation | Part 1 – Learn Power Automate Desktop · 1:00:07 | View full playlist | 📌This is a complete RPA Power Automate Desktop course right from "What is RPA?" to "AI and Copilot features" of the tool. The</t>
        </is>
      </c>
      <c r="M25" t="inlineStr">
        <is>
          <t xml:space="preserve">power automate full course ; power automate desktop full course ; power automate desktop project ; power automate advanced tutorial ; power automate course ; power automate tutorial playlist ; power automate tutorial in hindi ; power automate full course hindi ; power automate desktop hindi ; power automate project hindi ; power automate hindi ; power automate tutorial bangla ; power automate desktop bangla ; power automate in hindi</t>
        </is>
      </c>
    </row>
    <row r="26">
      <c r="A26" s="3">
        <v>25</v>
      </c>
      <c r="B26" t="inlineStr">
        <is>
          <t xml:space="preserve">Playlist</t>
        </is>
      </c>
      <c r="C26" t="inlineStr">
        <is>
          <t xml:space="preserve">English</t>
        </is>
      </c>
      <c r="D26" t="inlineStr">
        <is>
          <t xml:space="preserve">Course</t>
        </is>
      </c>
      <c r="E26" t="inlineStr">
        <is>
          <t xml:space="preserve">SharePoint, Excel, Email/Outlook, Forms</t>
        </is>
      </c>
      <c r="F26" t="inlineStr">
        <is>
          <t xml:space="preserve">Power Automate for Beginners</t>
        </is>
      </c>
      <c r="G26" t="inlineStr">
        <is>
          <t xml:space="preserve">Reza Dorrani</t>
        </is>
      </c>
      <c r="H26" t="inlineStr">
        <is>
          <t xml:space="preserve"/>
        </is>
      </c>
      <c r="I26" t="inlineStr">
        <is>
          <t xml:space="preserve"/>
        </is>
      </c>
      <c r="J26" t="inlineStr">
        <is>
          <t xml:space="preserve">38 videos</t>
        </is>
      </c>
      <c r="K26" s="2" t="str">
        <f>HYPERLINK("https://www.youtube.com/playlist?list=PLTyFh-qDKAiHscqJBrtIpseDtx5XFgDNk","https://www.youtube.com/playlist?list=PLTyFh-qDKAiHscqJBrtIpseDtx5XFgDNk")</f>
        <v>https://www.youtube.com/playlist?list=PLTyFh-qDKAiHscqJBrtIpseDtx5XFgDNk</v>
      </c>
      <c r="L26" t="inlineStr">
        <is>
          <t xml:space="preserve">Playlist | Add &amp; Update Excel Data to SharePoint List using Power Automate | Excel Import using flow · 41:50 | How to save Microsoft Forms Responses &amp; Attachments to SharePoint Lists or Libraries &amp; Send Email · 34:39 | View full playlist | Welcome to "Power Automate for Beginners"! This playlist is </t>
        </is>
      </c>
      <c r="M26" t="inlineStr">
        <is>
          <t xml:space="preserve">power automate full course ; power automate tutorial for beginners ; power automate project ; power automate cloud flow tutorial ; power automate course ; power automate tutorial playlist ; power automate full course hindi ; power automate hindi</t>
        </is>
      </c>
    </row>
    <row r="27">
      <c r="A27" s="3">
        <v>26</v>
      </c>
      <c r="B27" t="inlineStr">
        <is>
          <t xml:space="preserve">Playlist</t>
        </is>
      </c>
      <c r="C27" t="inlineStr">
        <is>
          <t xml:space="preserve">English</t>
        </is>
      </c>
      <c r="D27" t="inlineStr">
        <is>
          <t xml:space="preserve">Course</t>
        </is>
      </c>
      <c r="E27" t="inlineStr">
        <is>
          <t xml:space="preserve">Desktop/RPA, Cloud flows, Excel, Email/Outlook, Approvals, AI/Copilot, PDF, Forms</t>
        </is>
      </c>
      <c r="F27" t="inlineStr">
        <is>
          <t xml:space="preserve">Microsoft Power Automate Beginners Course</t>
        </is>
      </c>
      <c r="G27" t="inlineStr">
        <is>
          <t xml:space="preserve">Anders Jensen</t>
        </is>
      </c>
      <c r="H27" t="inlineStr">
        <is>
          <t xml:space="preserve"/>
        </is>
      </c>
      <c r="I27" t="inlineStr">
        <is>
          <t xml:space="preserve"/>
        </is>
      </c>
      <c r="J27" t="inlineStr">
        <is>
          <t xml:space="preserve">28 videos</t>
        </is>
      </c>
      <c r="K27" s="2" t="str">
        <f>HYPERLINK("https://www.youtube.com/playlist?list=PLXXz88_TPiHqGlJoWhBDCAxZ9m1N_jsB6","https://www.youtube.com/playlist?list=PLXXz88_TPiHqGlJoWhBDCAxZ9m1N_jsB6")</f>
        <v>https://www.youtube.com/playlist?list=PLXXz88_TPiHqGlJoWhBDCAxZ9m1N_jsB6</v>
      </c>
      <c r="L27" t="inlineStr">
        <is>
          <t xml:space="preserve">Playlist | Updated 3 days ago | How to Learn Microsoft Power Automate - Full Tutorial · 46:27 | Microsoft Power Automate - Tutorial for Beginners · 31:13 | View full playlist | Power Automate (cloud flows) tutorials for beginners: Your first flow, Excel, Forms responses, Outlook and attachments, dat</t>
        </is>
      </c>
      <c r="M27" t="inlineStr">
        <is>
          <t xml:space="preserve">power automate full course ; power automate tutorial for beginners ; power automate cloud flow tutorial ; power automate course ; power automate tutorial playlist</t>
        </is>
      </c>
    </row>
    <row r="28">
      <c r="A28" s="3">
        <v>27</v>
      </c>
      <c r="B28" t="inlineStr">
        <is>
          <t xml:space="preserve">Playlist</t>
        </is>
      </c>
      <c r="C28" t="inlineStr">
        <is>
          <t xml:space="preserve">English</t>
        </is>
      </c>
      <c r="D28" t="inlineStr">
        <is>
          <t xml:space="preserve">Course</t>
        </is>
      </c>
      <c r="E28" t="inlineStr">
        <is>
          <t xml:space="preserve">SharePoint</t>
        </is>
      </c>
      <c r="F28" t="inlineStr">
        <is>
          <t xml:space="preserve">Power Automate Tutorial for Beginners | Complete SharePoint Automation &amp; OData Filter Query Series</t>
        </is>
      </c>
      <c r="G28" t="inlineStr">
        <is>
          <t xml:space="preserve">Fun &amp; Learn</t>
        </is>
      </c>
      <c r="H28" t="inlineStr">
        <is>
          <t xml:space="preserve"/>
        </is>
      </c>
      <c r="I28" t="inlineStr">
        <is>
          <t xml:space="preserve"/>
        </is>
      </c>
      <c r="J28" t="inlineStr">
        <is>
          <t xml:space="preserve">7 videos</t>
        </is>
      </c>
      <c r="K28" s="2" t="str">
        <f>HYPERLINK("https://www.youtube.com/playlist?list=PLwJG-LJKe2GqPavqfpYCRzEvALJ9xqAF1","https://www.youtube.com/playlist?list=PLwJG-LJKe2GqPavqfpYCRzEvALJ9xqAF1")</f>
        <v>https://www.youtube.com/playlist?list=PLwJG-LJKe2GqPavqfpYCRzEvALJ9xqAF1</v>
      </c>
      <c r="L28" t="inlineStr">
        <is>
          <t xml:space="preserve">Playlist | View full playlist</t>
        </is>
      </c>
      <c r="M28" t="inlineStr">
        <is>
          <t xml:space="preserve">power automate full course ; power automate sharepoint automation</t>
        </is>
      </c>
    </row>
    <row r="29">
      <c r="A29" s="3">
        <v>28</v>
      </c>
      <c r="B29" t="inlineStr">
        <is>
          <t xml:space="preserve">Playlist</t>
        </is>
      </c>
      <c r="C29" t="inlineStr">
        <is>
          <t xml:space="preserve">English</t>
        </is>
      </c>
      <c r="D29" t="inlineStr">
        <is>
          <t xml:space="preserve">Course</t>
        </is>
      </c>
      <c r="E29" t="inlineStr">
        <is>
          <t xml:space="preserve"/>
        </is>
      </c>
      <c r="F29" t="inlineStr">
        <is>
          <t xml:space="preserve">Power Automate Tutorials</t>
        </is>
      </c>
      <c r="G29" t="inlineStr">
        <is>
          <t xml:space="preserve">Microsoft Power Automate</t>
        </is>
      </c>
      <c r="H29" t="inlineStr">
        <is>
          <t xml:space="preserve"/>
        </is>
      </c>
      <c r="I29" t="inlineStr">
        <is>
          <t xml:space="preserve"/>
        </is>
      </c>
      <c r="J29" t="inlineStr">
        <is>
          <t xml:space="preserve">19 videos</t>
        </is>
      </c>
      <c r="K29" s="2" t="str">
        <f>HYPERLINK("https://www.youtube.com/playlist?list=PLwh1E-0OEEGI4oSRnTEU3jeMDuU-NFl1D","https://www.youtube.com/playlist?list=PLwh1E-0OEEGI4oSRnTEU3jeMDuU-NFl1D")</f>
        <v>https://www.youtube.com/playlist?list=PLwh1E-0OEEGI4oSRnTEU3jeMDuU-NFl1D</v>
      </c>
      <c r="L29" t="inlineStr">
        <is>
          <t xml:space="preserve">Playlist | How to build your first flow · 6:46 | How to manage connections in Power Automate · 4:53 | View full playlist</t>
        </is>
      </c>
      <c r="M29" t="inlineStr">
        <is>
          <t xml:space="preserve">power automate tutorial for beginners ; power automate cloud flow tutorial ; power automate course ; power automate tutorial playlist ; power automate tutorial bangla ; power automate bangla ; microsoft power automate bangla tutorial ; পাওয়ার অটোমেট</t>
        </is>
      </c>
    </row>
    <row r="30">
      <c r="A30" s="3">
        <v>29</v>
      </c>
      <c r="B30" t="inlineStr">
        <is>
          <t xml:space="preserve">Playlist</t>
        </is>
      </c>
      <c r="C30" t="inlineStr">
        <is>
          <t xml:space="preserve">English</t>
        </is>
      </c>
      <c r="D30" t="inlineStr">
        <is>
          <t xml:space="preserve">Course</t>
        </is>
      </c>
      <c r="E30" t="inlineStr">
        <is>
          <t xml:space="preserve">Desktop/RPA, Excel</t>
        </is>
      </c>
      <c r="F30" t="inlineStr">
        <is>
          <t xml:space="preserve">Excel automation with Microsoft Power Automate Desktop</t>
        </is>
      </c>
      <c r="G30" t="inlineStr">
        <is>
          <t xml:space="preserve">MS Power Automate</t>
        </is>
      </c>
      <c r="H30" t="inlineStr">
        <is>
          <t xml:space="preserve"/>
        </is>
      </c>
      <c r="I30" t="inlineStr">
        <is>
          <t xml:space="preserve"/>
        </is>
      </c>
      <c r="J30" t="inlineStr">
        <is>
          <t xml:space="preserve">9 videos</t>
        </is>
      </c>
      <c r="K30" s="2" t="str">
        <f>HYPERLINK("https://www.youtube.com/playlist?list=PLtS0QJFKl_DbCIfFBMPp3uooVOAK6bZ7Q","https://www.youtube.com/playlist?list=PLtS0QJFKl_DbCIfFBMPp3uooVOAK6bZ7Q")</f>
        <v>https://www.youtube.com/playlist?list=PLtS0QJFKl_DbCIfFBMPp3uooVOAK6bZ7Q</v>
      </c>
      <c r="L30" t="inlineStr">
        <is>
          <t xml:space="preserve">Playlist | Power Automate Desktop Excel Automation Tutorial (Part 1 of 3) · 9:06 | Power Automate Desktop Excel Automation Tutorial (Part 2 of 3) · 10:55 | View full playlist</t>
        </is>
      </c>
      <c r="M30" t="inlineStr">
        <is>
          <t xml:space="preserve">power automate project ; power automate desktop full course ; power automate desktop project ; power automate excel automation ; power automate desktop hindi ; power automate project hindi ; power automate hindi ; power automate tutorial bangla ; power automate desktop bangla</t>
        </is>
      </c>
    </row>
    <row r="31">
      <c r="A31" s="3">
        <v>30</v>
      </c>
      <c r="B31" t="inlineStr">
        <is>
          <t xml:space="preserve">Playlist</t>
        </is>
      </c>
      <c r="C31" t="inlineStr">
        <is>
          <t xml:space="preserve">English</t>
        </is>
      </c>
      <c r="D31" t="inlineStr">
        <is>
          <t xml:space="preserve">Course</t>
        </is>
      </c>
      <c r="E31" t="inlineStr">
        <is>
          <t xml:space="preserve">Desktop/RPA, Web automation</t>
        </is>
      </c>
      <c r="F31" t="inlineStr">
        <is>
          <t xml:space="preserve">Web automation in Microsoft Power Automate Desktop</t>
        </is>
      </c>
      <c r="G31" t="inlineStr">
        <is>
          <t xml:space="preserve">MS Power Automate</t>
        </is>
      </c>
      <c r="H31" t="inlineStr">
        <is>
          <t xml:space="preserve"/>
        </is>
      </c>
      <c r="I31" t="inlineStr">
        <is>
          <t xml:space="preserve"/>
        </is>
      </c>
      <c r="J31" t="inlineStr">
        <is>
          <t xml:space="preserve">6 videos</t>
        </is>
      </c>
      <c r="K31" s="2" t="str">
        <f>HYPERLINK("https://www.youtube.com/playlist?list=PLtS0QJFKl_Da-fdSNTZQFMwwgnykMhb3B","https://www.youtube.com/playlist?list=PLtS0QJFKl_Da-fdSNTZQFMwwgnykMhb3B")</f>
        <v>https://www.youtube.com/playlist?list=PLtS0QJFKl_Da-fdSNTZQFMwwgnykMhb3B</v>
      </c>
      <c r="L31" t="inlineStr">
        <is>
          <t xml:space="preserve">Playlist | Scraping data from the web in Microsoft Power Automate for Desktop · 14:44 | How to Download Files from Chrome with Microsoft Power Automate Desktop · 7:00 | View full playlist</t>
        </is>
      </c>
      <c r="M31" t="inlineStr">
        <is>
          <t xml:space="preserve">power automate real world project ; power automate desktop project ; power automate project hindi</t>
        </is>
      </c>
    </row>
    <row r="32">
      <c r="A32" s="3">
        <v>31</v>
      </c>
      <c r="B32" t="inlineStr">
        <is>
          <t xml:space="preserve">Playlist</t>
        </is>
      </c>
      <c r="C32" t="inlineStr">
        <is>
          <t xml:space="preserve">English</t>
        </is>
      </c>
      <c r="D32" t="inlineStr">
        <is>
          <t xml:space="preserve">Course</t>
        </is>
      </c>
      <c r="E32" t="inlineStr">
        <is>
          <t xml:space="preserve">Desktop/RPA</t>
        </is>
      </c>
      <c r="F32" t="inlineStr">
        <is>
          <t xml:space="preserve">Power Automate Desktop</t>
        </is>
      </c>
      <c r="G32" t="inlineStr">
        <is>
          <t xml:space="preserve">Daniel Christian</t>
        </is>
      </c>
      <c r="H32" t="inlineStr">
        <is>
          <t xml:space="preserve"/>
        </is>
      </c>
      <c r="I32" t="inlineStr">
        <is>
          <t xml:space="preserve"/>
        </is>
      </c>
      <c r="J32" t="inlineStr">
        <is>
          <t xml:space="preserve">27 videos</t>
        </is>
      </c>
      <c r="K32" s="2" t="str">
        <f>HYPERLINK("https://www.youtube.com/playlist?list=PLdvjDcj8jpwk5iD6Uh1WJwyVq9bjyXlrL","https://www.youtube.com/playlist?list=PLdvjDcj8jpwk5iD6Uh1WJwyVq9bjyXlrL")</f>
        <v>https://www.youtube.com/playlist?list=PLdvjDcj8jpwk5iD6Uh1WJwyVq9bjyXlrL</v>
      </c>
      <c r="L32" t="inlineStr">
        <is>
          <t xml:space="preserve">Playlist | Introduction to Power Automate for Desktop · 29:58 | Power Automate Desktop Recorder · 23:21 | View full playlist</t>
        </is>
      </c>
      <c r="M32" t="inlineStr">
        <is>
          <t xml:space="preserve">power automate desktop full course ; power automate desktop bangla ; power automate bangla</t>
        </is>
      </c>
    </row>
    <row r="33">
      <c r="A33" s="3">
        <v>32</v>
      </c>
      <c r="B33" t="inlineStr">
        <is>
          <t xml:space="preserve">Playlist</t>
        </is>
      </c>
      <c r="C33" t="inlineStr">
        <is>
          <t xml:space="preserve">English</t>
        </is>
      </c>
      <c r="D33" t="inlineStr">
        <is>
          <t xml:space="preserve">Course</t>
        </is>
      </c>
      <c r="E33" t="inlineStr">
        <is>
          <t xml:space="preserve">SharePoint, Approvals</t>
        </is>
      </c>
      <c r="F33" t="inlineStr">
        <is>
          <t xml:space="preserve">Flow Approvals Cookbook</t>
        </is>
      </c>
      <c r="G33" t="inlineStr">
        <is>
          <t xml:space="preserve">Reza Dorrani</t>
        </is>
      </c>
      <c r="H33" t="inlineStr">
        <is>
          <t xml:space="preserve"/>
        </is>
      </c>
      <c r="I33" t="inlineStr">
        <is>
          <t xml:space="preserve"/>
        </is>
      </c>
      <c r="J33" t="inlineStr">
        <is>
          <t xml:space="preserve">35 videos</t>
        </is>
      </c>
      <c r="K33" s="2" t="str">
        <f>HYPERLINK("https://www.youtube.com/playlist?list=PLTyFh-qDKAiFUGTtwSwFT79Y7_jq_Aipe","https://www.youtube.com/playlist?list=PLTyFh-qDKAiFUGTtwSwFT79Y7_jq_Aipe")</f>
        <v>https://www.youtube.com/playlist?list=PLTyFh-qDKAiFUGTtwSwFT79Y7_jq_Aipe</v>
      </c>
      <c r="L33" t="inlineStr">
        <is>
          <t xml:space="preserve">Playlist | How to build Power Automate Approval Workflows for SharePoint | Step by Step Tutorial · 21:58 | Power Automate Multi Level Approval Workflow | Serial Approval | Multiple Approvers · 17:49 | View full playlist | One stop shop for everything you need to know about the flow approval action</t>
        </is>
      </c>
      <c r="M33" t="inlineStr">
        <is>
          <t xml:space="preserve">power automate approval workflow</t>
        </is>
      </c>
    </row>
    <row r="34">
      <c r="A34" s="3">
        <v>33</v>
      </c>
      <c r="B34" t="inlineStr">
        <is>
          <t xml:space="preserve">Playlist</t>
        </is>
      </c>
      <c r="C34" t="inlineStr">
        <is>
          <t xml:space="preserve">English</t>
        </is>
      </c>
      <c r="D34" t="inlineStr">
        <is>
          <t xml:space="preserve">Course</t>
        </is>
      </c>
      <c r="E34" t="inlineStr">
        <is>
          <t xml:space="preserve">Approvals, Power Apps</t>
        </is>
      </c>
      <c r="F34" t="inlineStr">
        <is>
          <t xml:space="preserve">Claim Approval Application using PowerApps &amp; Power Automate</t>
        </is>
      </c>
      <c r="G34" t="inlineStr">
        <is>
          <t xml:space="preserve">Tips By Anil</t>
        </is>
      </c>
      <c r="H34" t="inlineStr">
        <is>
          <t xml:space="preserve"/>
        </is>
      </c>
      <c r="I34" t="inlineStr">
        <is>
          <t xml:space="preserve"/>
        </is>
      </c>
      <c r="J34" t="inlineStr">
        <is>
          <t xml:space="preserve">8 videos</t>
        </is>
      </c>
      <c r="K34" s="2" t="str">
        <f>HYPERLINK("https://www.youtube.com/playlist?list=PLFKlnjWl05Iy_SKA6cGrKQo1Mslw0BwwE","https://www.youtube.com/playlist?list=PLFKlnjWl05Iy_SKA6cGrKQo1Mslw0BwwE")</f>
        <v>https://www.youtube.com/playlist?list=PLFKlnjWl05Iy_SKA6cGrKQo1Mslw0BwwE</v>
      </c>
      <c r="L34" t="inlineStr">
        <is>
          <t xml:space="preserve">Playlist | Claim Approval Application using PowerApps and Power Automate - Part 1 · 18:18 | Submit New Claim using New Form PowerApps - Claim Request PowerApps Part 2 · 11:33 | View full playlist</t>
        </is>
      </c>
      <c r="M34" t="inlineStr">
        <is>
          <t xml:space="preserve">power automate approval workflow</t>
        </is>
      </c>
    </row>
    <row r="35">
      <c r="A35" s="3">
        <v>34</v>
      </c>
      <c r="B35" t="inlineStr">
        <is>
          <t xml:space="preserve">Playlist</t>
        </is>
      </c>
      <c r="C35" t="inlineStr">
        <is>
          <t xml:space="preserve">English</t>
        </is>
      </c>
      <c r="D35" t="inlineStr">
        <is>
          <t xml:space="preserve">Course</t>
        </is>
      </c>
      <c r="E35" t="inlineStr">
        <is>
          <t xml:space="preserve">Email/Outlook, AI/Copilot, Power Apps</t>
        </is>
      </c>
      <c r="F35" t="inlineStr">
        <is>
          <t xml:space="preserve">AI Builder</t>
        </is>
      </c>
      <c r="G35" t="inlineStr">
        <is>
          <t xml:space="preserve">Microsoft Power Platform</t>
        </is>
      </c>
      <c r="H35" t="inlineStr">
        <is>
          <t xml:space="preserve"/>
        </is>
      </c>
      <c r="I35" t="inlineStr">
        <is>
          <t xml:space="preserve"/>
        </is>
      </c>
      <c r="J35" t="inlineStr">
        <is>
          <t xml:space="preserve">17 videos</t>
        </is>
      </c>
      <c r="K35" s="2" t="str">
        <f>HYPERLINK("https://www.youtube.com/playlist?list=PLi9EhCY4z99UYDkinJ3nT3VgKoixgGDDb","https://www.youtube.com/playlist?list=PLi9EhCY4z99UYDkinJ3nT3VgKoixgGDDb")</f>
        <v>https://www.youtube.com/playlist?list=PLi9EhCY4z99UYDkinJ3nT3VgKoixgGDDb</v>
      </c>
      <c r="L35" t="inlineStr">
        <is>
          <t xml:space="preserve">Playlist | AI Builder Overview · 1:24 | How to automate extracting text from emails in just 1 minute · 1:37 | View full playlist | AI Builder is a Microsoft Power Platform capability that provides AI models that are designed to optimize your business processes. AI Builder enables your business to us</t>
        </is>
      </c>
      <c r="M35" t="inlineStr">
        <is>
          <t xml:space="preserve">power automate AI builder</t>
        </is>
      </c>
    </row>
    <row r="36">
      <c r="A36" s="3">
        <v>35</v>
      </c>
      <c r="B36" t="inlineStr">
        <is>
          <t xml:space="preserve">Playlist</t>
        </is>
      </c>
      <c r="C36" t="inlineStr">
        <is>
          <t xml:space="preserve">English</t>
        </is>
      </c>
      <c r="D36" t="inlineStr">
        <is>
          <t xml:space="preserve">Course</t>
        </is>
      </c>
      <c r="E36" t="inlineStr">
        <is>
          <t xml:space="preserve">Excel, Email/Outlook, AI/Copilot</t>
        </is>
      </c>
      <c r="F36" t="inlineStr">
        <is>
          <t xml:space="preserve">Power Automate AI Builder</t>
        </is>
      </c>
      <c r="G36" t="inlineStr">
        <is>
          <t xml:space="preserve">Technologiate</t>
        </is>
      </c>
      <c r="H36" t="inlineStr">
        <is>
          <t xml:space="preserve"/>
        </is>
      </c>
      <c r="I36" t="inlineStr">
        <is>
          <t xml:space="preserve"/>
        </is>
      </c>
      <c r="J36" t="inlineStr">
        <is>
          <t xml:space="preserve">12 videos</t>
        </is>
      </c>
      <c r="K36" s="2" t="str">
        <f>HYPERLINK("https://www.youtube.com/playlist?list=PL8LAhuciklLZNlNaJMdtnlfL5PYEib5Nl","https://www.youtube.com/playlist?list=PL8LAhuciklLZNlNaJMdtnlfL5PYEib5Nl")</f>
        <v>https://www.youtube.com/playlist?list=PL8LAhuciklLZNlNaJMdtnlfL5PYEib5Nl</v>
      </c>
      <c r="L36" t="inlineStr">
        <is>
          <t xml:space="preserve">Playlist | How to Auto-Send Follow-Up Emails in Outlook When No One Replies | Power Automate + Excel · 24:46 | How to Auto-Forward Outlook Emails to the Right Department with AI Builder and Power Automate · 14:04 | View full playlist | Power Automate + AI Builder, made practical. This playlist walks</t>
        </is>
      </c>
      <c r="M36" t="inlineStr">
        <is>
          <t xml:space="preserve">power automate AI builder</t>
        </is>
      </c>
    </row>
    <row r="37">
      <c r="A37" s="3">
        <v>36</v>
      </c>
      <c r="B37" t="inlineStr">
        <is>
          <t xml:space="preserve">Playlist</t>
        </is>
      </c>
      <c r="C37" t="inlineStr">
        <is>
          <t xml:space="preserve">English</t>
        </is>
      </c>
      <c r="D37" t="inlineStr">
        <is>
          <t xml:space="preserve">Course</t>
        </is>
      </c>
      <c r="E37" t="inlineStr">
        <is>
          <t xml:space="preserve">SharePoint, Excel, Email/Outlook, AI/Copilot</t>
        </is>
      </c>
      <c r="F37" t="inlineStr">
        <is>
          <t xml:space="preserve">AI Builder for Power Platform</t>
        </is>
      </c>
      <c r="G37" t="inlineStr">
        <is>
          <t xml:space="preserve">Reza Dorrani</t>
        </is>
      </c>
      <c r="H37" t="inlineStr">
        <is>
          <t xml:space="preserve"/>
        </is>
      </c>
      <c r="I37" t="inlineStr">
        <is>
          <t xml:space="preserve"/>
        </is>
      </c>
      <c r="J37" t="inlineStr">
        <is>
          <t xml:space="preserve">10 videos</t>
        </is>
      </c>
      <c r="K37" s="2" t="str">
        <f>HYPERLINK("https://www.youtube.com/playlist?list=PLTyFh-qDKAiEecEOiZLLvdPcM_5KmiHFd","https://www.youtube.com/playlist?list=PLTyFh-qDKAiEecEOiZLLvdPcM_5KmiHFd")</f>
        <v>https://www.youtube.com/playlist?list=PLTyFh-qDKAiEecEOiZLLvdPcM_5KmiHFd</v>
      </c>
      <c r="L37" t="inlineStr">
        <is>
          <t xml:space="preserve">Playlist | This AI Flow Exports ANY SharePoint List to Excel with ONE Prompt 🚀🔥 · 22:52 | Extract text from Email Body using AI in Power Automate flows | Azure OpenAI GPT · 12:49 | View full playlist</t>
        </is>
      </c>
      <c r="M37" t="inlineStr">
        <is>
          <t xml:space="preserve">power automate AI builder</t>
        </is>
      </c>
    </row>
    <row r="38">
      <c r="A38" s="3">
        <v>37</v>
      </c>
      <c r="B38" t="inlineStr">
        <is>
          <t xml:space="preserve">Playlist</t>
        </is>
      </c>
      <c r="C38" t="inlineStr">
        <is>
          <t xml:space="preserve">English</t>
        </is>
      </c>
      <c r="D38" t="inlineStr">
        <is>
          <t xml:space="preserve">Course</t>
        </is>
      </c>
      <c r="E38" t="inlineStr">
        <is>
          <t xml:space="preserve">AI/Copilot</t>
        </is>
      </c>
      <c r="F38" t="inlineStr">
        <is>
          <t xml:space="preserve">Power Platform - AI Builder</t>
        </is>
      </c>
      <c r="G38" t="inlineStr">
        <is>
          <t xml:space="preserve">Dhruvin Shah</t>
        </is>
      </c>
      <c r="H38" t="inlineStr">
        <is>
          <t xml:space="preserve"/>
        </is>
      </c>
      <c r="I38" t="inlineStr">
        <is>
          <t xml:space="preserve"/>
        </is>
      </c>
      <c r="J38" t="inlineStr">
        <is>
          <t xml:space="preserve">6 videos</t>
        </is>
      </c>
      <c r="K38" s="2" t="str">
        <f>HYPERLINK("https://www.youtube.com/playlist?list=PLib8Q64STW-s6h5Ceo7Ug-uWD-Orl4Ah4","https://www.youtube.com/playlist?list=PLib8Q64STW-s6h5Ceo7Ug-uWD-Orl4Ah4")</f>
        <v>https://www.youtube.com/playlist?list=PLib8Q64STW-s6h5Ceo7Ug-uWD-Orl4Ah4</v>
      </c>
      <c r="L38" t="inlineStr">
        <is>
          <t xml:space="preserve">Playlist | Custom AI Prompts in Power Platform - Generate Summary from Microsoft Form Data · 18:06 | Unstructured Document Processing with Power Automate and AI Builder · 7:41 | View full playlist</t>
        </is>
      </c>
      <c r="M38" t="inlineStr">
        <is>
          <t xml:space="preserve">power automate AI builder</t>
        </is>
      </c>
    </row>
    <row r="39">
      <c r="A39" s="3">
        <v>38</v>
      </c>
      <c r="B39" t="inlineStr">
        <is>
          <t xml:space="preserve">Playlist</t>
        </is>
      </c>
      <c r="C39" t="inlineStr">
        <is>
          <t xml:space="preserve">English</t>
        </is>
      </c>
      <c r="D39" t="inlineStr">
        <is>
          <t xml:space="preserve">Course</t>
        </is>
      </c>
      <c r="E39" t="inlineStr">
        <is>
          <t xml:space="preserve">AI/Copilot</t>
        </is>
      </c>
      <c r="F39" t="inlineStr">
        <is>
          <t xml:space="preserve">power automate ai builder prediction</t>
        </is>
      </c>
      <c r="G39" t="inlineStr">
        <is>
          <t xml:space="preserve">Yacine</t>
        </is>
      </c>
      <c r="H39" t="inlineStr">
        <is>
          <t xml:space="preserve"/>
        </is>
      </c>
      <c r="I39" t="inlineStr">
        <is>
          <t xml:space="preserve"/>
        </is>
      </c>
      <c r="J39" t="inlineStr">
        <is>
          <t xml:space="preserve">17 videos</t>
        </is>
      </c>
      <c r="K39" s="2" t="str">
        <f>HYPERLINK("https://www.youtube.com/playlist?list=PLiGddTVk9eK9_dVmvttzJK_lkWZM3S8rb","https://www.youtube.com/playlist?list=PLiGddTVk9eK9_dVmvttzJK_lkWZM3S8rb")</f>
        <v>https://www.youtube.com/playlist?list=PLiGddTVk9eK9_dVmvttzJK_lkWZM3S8rb</v>
      </c>
      <c r="L39" t="inlineStr">
        <is>
          <t xml:space="preserve">Playlist | Test Predict AI Model - Power Platform · 6:53 | AI Builder - How to Train and Optimise a Text Classification Model · 11:46 | View full playlist</t>
        </is>
      </c>
      <c r="M39" t="inlineStr">
        <is>
          <t xml:space="preserve">power automate AI builder</t>
        </is>
      </c>
    </row>
    <row r="40">
      <c r="A40" s="3">
        <v>39</v>
      </c>
      <c r="B40" t="inlineStr">
        <is>
          <t xml:space="preserve">Playlist</t>
        </is>
      </c>
      <c r="C40" t="inlineStr">
        <is>
          <t xml:space="preserve">English</t>
        </is>
      </c>
      <c r="D40" t="inlineStr">
        <is>
          <t xml:space="preserve">Course</t>
        </is>
      </c>
      <c r="E40" t="inlineStr">
        <is>
          <t xml:space="preserve">AI/Copilot</t>
        </is>
      </c>
      <c r="F40" t="inlineStr">
        <is>
          <t xml:space="preserve">Copilot Studio for Power Platform Makers</t>
        </is>
      </c>
      <c r="G40" t="inlineStr">
        <is>
          <t xml:space="preserve">Microsoft Power Platform</t>
        </is>
      </c>
      <c r="H40" t="inlineStr">
        <is>
          <t xml:space="preserve"/>
        </is>
      </c>
      <c r="I40" t="inlineStr">
        <is>
          <t xml:space="preserve"/>
        </is>
      </c>
      <c r="J40" t="inlineStr">
        <is>
          <t xml:space="preserve">29 videos</t>
        </is>
      </c>
      <c r="K40" s="2" t="str">
        <f>HYPERLINK("https://www.youtube.com/playlist?list=PLi9EhCY4z99XR9Me1e4LZTF-YsnklmEsa","https://www.youtube.com/playlist?list=PLi9EhCY4z99XR9Me1e4LZTF-YsnklmEsa")</f>
        <v>https://www.youtube.com/playlist?list=PLi9EhCY4z99XR9Me1e4LZTF-YsnklmEsa</v>
      </c>
      <c r="L40" t="inlineStr">
        <is>
          <t xml:space="preserve">Playlist | Copilot Studio for Power Platform Makers | Course Intro · 2:54 | What is Copilot Studio and why you need it? | EP02 · 8:54 | View full playlist | Join Shane Young, Power Platform MVP, as he sets the stage with demos, step-by-step builds, and deep dives into product-specific features that </t>
        </is>
      </c>
      <c r="M40" t="inlineStr">
        <is>
          <t xml:space="preserve">power automate copilot</t>
        </is>
      </c>
    </row>
    <row r="41">
      <c r="A41" s="3">
        <v>40</v>
      </c>
      <c r="B41" t="inlineStr">
        <is>
          <t xml:space="preserve">Playlist</t>
        </is>
      </c>
      <c r="C41" t="inlineStr">
        <is>
          <t xml:space="preserve">English</t>
        </is>
      </c>
      <c r="D41" t="inlineStr">
        <is>
          <t xml:space="preserve">Course</t>
        </is>
      </c>
      <c r="E41" t="inlineStr">
        <is>
          <t xml:space="preserve">Desktop/RPA, Cloud flows, Excel, AI/Copilot, Power Apps, Dataverse</t>
        </is>
      </c>
      <c r="F41" t="inlineStr">
        <is>
          <t xml:space="preserve">Learn PL-500 Power Automate RPA Developer Associate Certification Course</t>
        </is>
      </c>
      <c r="G41" t="inlineStr">
        <is>
          <t xml:space="preserve">Learn RPA &amp; AI Technologies every day</t>
        </is>
      </c>
      <c r="H41" t="inlineStr">
        <is>
          <t xml:space="preserve"/>
        </is>
      </c>
      <c r="I41" t="inlineStr">
        <is>
          <t xml:space="preserve"/>
        </is>
      </c>
      <c r="J41" t="inlineStr">
        <is>
          <t xml:space="preserve">20 videos</t>
        </is>
      </c>
      <c r="K41" s="2" t="str">
        <f>HYPERLINK("https://www.youtube.com/playlist?list=PLZVSOFwGx4zDX7vnfdK1IVuomrm3fKVKB","https://www.youtube.com/playlist?list=PLZVSOFwGx4zDX7vnfdK1IVuomrm3fKVKB")</f>
        <v>https://www.youtube.com/playlist?list=PLZVSOFwGx4zDX7vnfdK1IVuomrm3fKVKB</v>
      </c>
      <c r="L41" t="inlineStr">
        <is>
          <t xml:space="preserve">Playlist | PL 500 Certification : Questions and Answers || Q20 on "Configure an environment" · 13:33 | PL 500 Certification : Questions and Answers || Q18 on "Share Cloud Flows and Desktop Flows" · 6:58 | View full playlist | #pl500 #microsoftpowerautomate #microsoftpowerautomatedesktop #powerautoma</t>
        </is>
      </c>
      <c r="M41" t="inlineStr">
        <is>
          <t xml:space="preserve">PL-500 power automate RPA developer</t>
        </is>
      </c>
    </row>
    <row r="42">
      <c r="A42" s="3">
        <v>41</v>
      </c>
      <c r="B42" t="inlineStr">
        <is>
          <t xml:space="preserve">Playlist</t>
        </is>
      </c>
      <c r="C42" t="inlineStr">
        <is>
          <t xml:space="preserve">English</t>
        </is>
      </c>
      <c r="D42" t="inlineStr">
        <is>
          <t xml:space="preserve">Course</t>
        </is>
      </c>
      <c r="E42" t="inlineStr">
        <is>
          <t xml:space="preserve">Desktop/RPA</t>
        </is>
      </c>
      <c r="F42" t="inlineStr">
        <is>
          <t xml:space="preserve">PL500 Practice Questions - RPA Developer</t>
        </is>
      </c>
      <c r="G42" t="inlineStr">
        <is>
          <t xml:space="preserve">Ska-doosh</t>
        </is>
      </c>
      <c r="H42" t="inlineStr">
        <is>
          <t xml:space="preserve"/>
        </is>
      </c>
      <c r="I42" t="inlineStr">
        <is>
          <t xml:space="preserve"/>
        </is>
      </c>
      <c r="J42" t="inlineStr">
        <is>
          <t xml:space="preserve">30 videos</t>
        </is>
      </c>
      <c r="K42" s="2" t="str">
        <f>HYPERLINK("https://www.youtube.com/playlist?list=PLz5dITSUzInZWo6hZ8bTXv8LmShGrziFJ","https://www.youtube.com/playlist?list=PLz5dITSUzInZWo6hZ8bTXv8LmShGrziFJ")</f>
        <v>https://www.youtube.com/playlist?list=PLz5dITSUzInZWo6hZ8bTXv8LmShGrziFJ</v>
      </c>
      <c r="L42" t="inlineStr">
        <is>
          <t xml:space="preserve">Playlist | PL500 Quiz - Module 1 - Build your first Power Automate Desktop flow · 5:31 | PL500 Quiz - Module 1 - Define input and output parameters in Power Automate · 4:31 | View full playlist</t>
        </is>
      </c>
      <c r="M42" t="inlineStr">
        <is>
          <t xml:space="preserve">PL-500 power automate RPA developer</t>
        </is>
      </c>
    </row>
    <row r="43">
      <c r="A43" s="3">
        <v>42</v>
      </c>
      <c r="B43" t="inlineStr">
        <is>
          <t xml:space="preserve">Playlist</t>
        </is>
      </c>
      <c r="C43" t="inlineStr">
        <is>
          <t xml:space="preserve">English</t>
        </is>
      </c>
      <c r="D43" t="inlineStr">
        <is>
          <t xml:space="preserve">Course</t>
        </is>
      </c>
      <c r="E43" t="inlineStr">
        <is>
          <t xml:space="preserve"/>
        </is>
      </c>
      <c r="F43" t="inlineStr">
        <is>
          <t xml:space="preserve">PL-900: 240 Questions and Answers</t>
        </is>
      </c>
      <c r="G43" t="inlineStr">
        <is>
          <t xml:space="preserve">Code with Bibek</t>
        </is>
      </c>
      <c r="H43" t="inlineStr">
        <is>
          <t xml:space="preserve"/>
        </is>
      </c>
      <c r="I43" t="inlineStr">
        <is>
          <t xml:space="preserve"/>
        </is>
      </c>
      <c r="J43" t="inlineStr">
        <is>
          <t xml:space="preserve">24 videos</t>
        </is>
      </c>
      <c r="K43" s="2" t="str">
        <f>HYPERLINK("https://www.youtube.com/playlist?list=PLiUrl-SQRR7JqXbKIDuZ2VNdxPZJjz_YP","https://www.youtube.com/playlist?list=PLiUrl-SQRR7JqXbKIDuZ2VNdxPZJjz_YP")</f>
        <v>https://www.youtube.com/playlist?list=PLiUrl-SQRR7JqXbKIDuZ2VNdxPZJjz_YP</v>
      </c>
      <c r="L43" t="inlineStr">
        <is>
          <t xml:space="preserve">Playlist | PL-900 Q&amp;A #1 - Microsoft Power Platform Fundamentals · 9:46 | PL-900 Q&amp;A #2 - Microsoft Power Platform Fundamentals · 10:30 | View full playlist</t>
        </is>
      </c>
      <c r="M43" t="inlineStr">
        <is>
          <t xml:space="preserve">PL-900 power platform</t>
        </is>
      </c>
    </row>
    <row r="44">
      <c r="A44" s="3">
        <v>43</v>
      </c>
      <c r="B44" t="inlineStr">
        <is>
          <t xml:space="preserve">Playlist</t>
        </is>
      </c>
      <c r="C44" t="inlineStr">
        <is>
          <t xml:space="preserve">English</t>
        </is>
      </c>
      <c r="D44" t="inlineStr">
        <is>
          <t xml:space="preserve">Course</t>
        </is>
      </c>
      <c r="E44" t="inlineStr">
        <is>
          <t xml:space="preserve"/>
        </is>
      </c>
      <c r="F44" t="inlineStr">
        <is>
          <t xml:space="preserve">MS Power Platform Fundamentals PL-900</t>
        </is>
      </c>
      <c r="G44" t="inlineStr">
        <is>
          <t xml:space="preserve">Martin Hernandez</t>
        </is>
      </c>
      <c r="H44" t="inlineStr">
        <is>
          <t xml:space="preserve"/>
        </is>
      </c>
      <c r="I44" t="inlineStr">
        <is>
          <t xml:space="preserve"/>
        </is>
      </c>
      <c r="J44" t="inlineStr">
        <is>
          <t xml:space="preserve">6 videos</t>
        </is>
      </c>
      <c r="K44" s="2" t="str">
        <f>HYPERLINK("https://www.youtube.com/playlist?list=PLTB18RFES4v2vLuJ9UDKBSSDRuLIXNbVx","https://www.youtube.com/playlist?list=PLTB18RFES4v2vLuJ9UDKBSSDRuLIXNbVx")</f>
        <v>https://www.youtube.com/playlist?list=PLTB18RFES4v2vLuJ9UDKBSSDRuLIXNbVx</v>
      </c>
      <c r="L44" t="inlineStr">
        <is>
          <t xml:space="preserve">Playlist | PL-900 Microsoft Power Platform Fundamentals Study Cram · 1:06:42 | PL-900 Full Course | Power Platform Fundamentals Certification Training · 2:12:54 | View full playlist</t>
        </is>
      </c>
      <c r="M44" t="inlineStr">
        <is>
          <t xml:space="preserve">PL-900 power platform</t>
        </is>
      </c>
    </row>
    <row r="45">
      <c r="A45" s="3">
        <v>44</v>
      </c>
      <c r="B45" t="inlineStr">
        <is>
          <t xml:space="preserve">Playlist</t>
        </is>
      </c>
      <c r="C45" t="inlineStr">
        <is>
          <t xml:space="preserve">English</t>
        </is>
      </c>
      <c r="D45" t="inlineStr">
        <is>
          <t xml:space="preserve">Course</t>
        </is>
      </c>
      <c r="E45" t="inlineStr">
        <is>
          <t xml:space="preserve"/>
        </is>
      </c>
      <c r="F45" t="inlineStr">
        <is>
          <t xml:space="preserve">PL-900</t>
        </is>
      </c>
      <c r="G45" t="inlineStr">
        <is>
          <t xml:space="preserve">Jason Doyle</t>
        </is>
      </c>
      <c r="H45" t="inlineStr">
        <is>
          <t xml:space="preserve"/>
        </is>
      </c>
      <c r="I45" t="inlineStr">
        <is>
          <t xml:space="preserve"/>
        </is>
      </c>
      <c r="J45" t="inlineStr">
        <is>
          <t xml:space="preserve">20 videos</t>
        </is>
      </c>
      <c r="K45" s="2" t="str">
        <f>HYPERLINK("https://www.youtube.com/playlist?list=PLj0gQlZ1nN2WVBviBu_TgdueIffqksN2V","https://www.youtube.com/playlist?list=PLj0gQlZ1nN2WVBviBu_TgdueIffqksN2V")</f>
        <v>https://www.youtube.com/playlist?list=PLj0gQlZ1nN2WVBviBu_TgdueIffqksN2V</v>
      </c>
      <c r="L45" t="inlineStr">
        <is>
          <t xml:space="preserve">Playlist | PL-900 Full Course | Power Platform Fundamentals Certification Training · 2:12:54 | PL-900 Microsoft Power Platform Fundamentals Study Cram · 1:06:42 | View full playlist</t>
        </is>
      </c>
      <c r="M45" t="inlineStr">
        <is>
          <t xml:space="preserve">PL-900 power platform</t>
        </is>
      </c>
    </row>
    <row r="46">
      <c r="A46" s="3">
        <v>45</v>
      </c>
      <c r="B46" t="inlineStr">
        <is>
          <t xml:space="preserve">Playlist</t>
        </is>
      </c>
      <c r="C46" t="inlineStr">
        <is>
          <t xml:space="preserve">English</t>
        </is>
      </c>
      <c r="D46" t="inlineStr">
        <is>
          <t xml:space="preserve">Course</t>
        </is>
      </c>
      <c r="E46" t="inlineStr">
        <is>
          <t xml:space="preserve"/>
        </is>
      </c>
      <c r="F46" t="inlineStr">
        <is>
          <t xml:space="preserve">PL-900 Microsoft Power Platform Fundamentals Study Cram (John Savill's Technical Training) and other</t>
        </is>
      </c>
      <c r="G46" t="inlineStr">
        <is>
          <t xml:space="preserve">HilDuffRox18</t>
        </is>
      </c>
      <c r="H46" t="inlineStr">
        <is>
          <t xml:space="preserve"/>
        </is>
      </c>
      <c r="I46" t="inlineStr">
        <is>
          <t xml:space="preserve"/>
        </is>
      </c>
      <c r="J46" t="inlineStr">
        <is>
          <t xml:space="preserve">15 videos</t>
        </is>
      </c>
      <c r="K46" s="2" t="str">
        <f>HYPERLINK("https://www.youtube.com/playlist?list=PLO3D3EAP-61MTY4fusRc3ph25PXWOMnsl","https://www.youtube.com/playlist?list=PLO3D3EAP-61MTY4fusRc3ph25PXWOMnsl")</f>
        <v>https://www.youtube.com/playlist?list=PLO3D3EAP-61MTY4fusRc3ph25PXWOMnsl</v>
      </c>
      <c r="L46" t="inlineStr">
        <is>
          <t xml:space="preserve">Playlist | PL-900 Microsoft Power Platform Fundamentals Study Cram · 1:06:42 | PL-900 Full Course | Power Platform Fundamentals Certification Training · 2:12:54 | View full playlist | hope you like the playlist too :D will be watching them while cooking dinner :) uploaded by John Savill's Technical </t>
        </is>
      </c>
      <c r="M46" t="inlineStr">
        <is>
          <t xml:space="preserve">PL-900 power platform</t>
        </is>
      </c>
    </row>
    <row r="47">
      <c r="A47" s="3">
        <v>46</v>
      </c>
      <c r="B47" t="inlineStr">
        <is>
          <t xml:space="preserve">Playlist</t>
        </is>
      </c>
      <c r="C47" t="inlineStr">
        <is>
          <t xml:space="preserve">English</t>
        </is>
      </c>
      <c r="D47" t="inlineStr">
        <is>
          <t xml:space="preserve">Course</t>
        </is>
      </c>
      <c r="E47" t="inlineStr">
        <is>
          <t xml:space="preserve"/>
        </is>
      </c>
      <c r="F47" t="inlineStr">
        <is>
          <t xml:space="preserve">Power Automate Advanced Videos</t>
        </is>
      </c>
      <c r="G47" t="inlineStr">
        <is>
          <t xml:space="preserve">Jon Levesque</t>
        </is>
      </c>
      <c r="H47" t="inlineStr">
        <is>
          <t xml:space="preserve"/>
        </is>
      </c>
      <c r="I47" t="inlineStr">
        <is>
          <t xml:space="preserve"/>
        </is>
      </c>
      <c r="J47" t="inlineStr">
        <is>
          <t xml:space="preserve">21 videos</t>
        </is>
      </c>
      <c r="K47" s="2" t="str">
        <f>HYPERLINK("https://www.youtube.com/playlist?list=PLN-cZRQeAiDUy2_6EMagB7NHaFTVxPjeN","https://www.youtube.com/playlist?list=PLN-cZRQeAiDUy2_6EMagB7NHaFTVxPjeN")</f>
        <v>https://www.youtube.com/playlist?list=PLN-cZRQeAiDUy2_6EMagB7NHaFTVxPjeN</v>
      </c>
      <c r="L47" t="inlineStr">
        <is>
          <t xml:space="preserve">Playlist | Power Automate Tutorial - Expressions 301 · 46:54 | Microsoft Power Automate Tutorial - Conditional Triggers · 25:13 | View full playlist | Looking for some of the more advanced Power Automate Material? This is the playlist for you!</t>
        </is>
      </c>
      <c r="M47" t="inlineStr">
        <is>
          <t xml:space="preserve">power automate advanced tutorial</t>
        </is>
      </c>
    </row>
    <row r="48">
      <c r="A48" s="3">
        <v>47</v>
      </c>
      <c r="B48" t="inlineStr">
        <is>
          <t xml:space="preserve">Playlist</t>
        </is>
      </c>
      <c r="C48" t="inlineStr">
        <is>
          <t xml:space="preserve">English</t>
        </is>
      </c>
      <c r="D48" t="inlineStr">
        <is>
          <t xml:space="preserve">Course</t>
        </is>
      </c>
      <c r="E48" t="inlineStr">
        <is>
          <t xml:space="preserve">Desktop/RPA, Cloud flows, SharePoint, Excel, AI/Copilot, Power Apps</t>
        </is>
      </c>
      <c r="F48" t="inlineStr">
        <is>
          <t xml:space="preserve">Power Platform interview questions</t>
        </is>
      </c>
      <c r="G48" t="inlineStr">
        <is>
          <t xml:space="preserve">Ravindra Jadhav</t>
        </is>
      </c>
      <c r="H48" t="inlineStr">
        <is>
          <t xml:space="preserve"/>
        </is>
      </c>
      <c r="I48" t="inlineStr">
        <is>
          <t xml:space="preserve"/>
        </is>
      </c>
      <c r="J48" t="inlineStr">
        <is>
          <t xml:space="preserve">37 videos</t>
        </is>
      </c>
      <c r="K48" s="2" t="str">
        <f>HYPERLINK("https://www.youtube.com/playlist?list=PLwJ5qMG_kqnIjq7dMAVSkG-DaX58fN-vn","https://www.youtube.com/playlist?list=PLwJ5qMG_kqnIjq7dMAVSkG-DaX58fN-vn")</f>
        <v>https://www.youtube.com/playlist?list=PLwJ5qMG_kqnIjq7dMAVSkG-DaX58fN-vn</v>
      </c>
      <c r="L48" t="inlineStr">
        <is>
          <t xml:space="preserve">Playlist | Dynamics 365 Developer Interview Questions Advance level · 14:01 | D365 Interview Questions 2026 · 14:30 | View full playlist | Interview Preparation Microsoft Power Platform Power Platform Interview Questions Power Platfrom Interview Question with Answers Interview Questions on Power App</t>
        </is>
      </c>
      <c r="M48" t="inlineStr">
        <is>
          <t xml:space="preserve">power automate interview questions</t>
        </is>
      </c>
    </row>
    <row r="49">
      <c r="A49" s="3">
        <v>48</v>
      </c>
      <c r="B49" t="inlineStr">
        <is>
          <t xml:space="preserve">Playlist</t>
        </is>
      </c>
      <c r="C49" t="inlineStr">
        <is>
          <t xml:space="preserve">English</t>
        </is>
      </c>
      <c r="D49" t="inlineStr">
        <is>
          <t xml:space="preserve">Course</t>
        </is>
      </c>
      <c r="E49" t="inlineStr">
        <is>
          <t xml:space="preserve">Desktop/RPA, Web automation</t>
        </is>
      </c>
      <c r="F49" t="inlineStr">
        <is>
          <t xml:space="preserve">Power Automate Interview Question &amp; Answers FAQs Series | EmergenTeck</t>
        </is>
      </c>
      <c r="G49" t="inlineStr">
        <is>
          <t xml:space="preserve">EmergenTeck</t>
        </is>
      </c>
      <c r="H49" t="inlineStr">
        <is>
          <t xml:space="preserve"/>
        </is>
      </c>
      <c r="I49" t="inlineStr">
        <is>
          <t xml:space="preserve"/>
        </is>
      </c>
      <c r="J49" t="inlineStr">
        <is>
          <t xml:space="preserve">9 videos</t>
        </is>
      </c>
      <c r="K49" s="2" t="str">
        <f>HYPERLINK("https://www.youtube.com/playlist?list=PLHtcx5qWT4ToBe1bTsNgMbAlRqbAYio3v","https://www.youtube.com/playlist?list=PLHtcx5qWT4ToBe1bTsNgMbAlRqbAYio3v")</f>
        <v>https://www.youtube.com/playlist?list=PLHtcx5qWT4ToBe1bTsNgMbAlRqbAYio3v</v>
      </c>
      <c r="L49" t="inlineStr">
        <is>
          <t xml:space="preserve">Playlist | Power Automate Tutorials for Beginners: How to Get Started | EmergenTeck · 45:17 | What is Power Automate Power Automate Interview FAQ | EmergenTeck · 0:46 | View full playlist | At EmergenTeck, we believe in the power of knowledge sharing, and that's why we're launching an initiative – t</t>
        </is>
      </c>
      <c r="M49" t="inlineStr">
        <is>
          <t xml:space="preserve">power automate interview questions</t>
        </is>
      </c>
    </row>
    <row r="50">
      <c r="A50" s="3">
        <v>49</v>
      </c>
      <c r="B50" t="inlineStr">
        <is>
          <t xml:space="preserve">Playlist</t>
        </is>
      </c>
      <c r="C50" t="inlineStr">
        <is>
          <t xml:space="preserve">English</t>
        </is>
      </c>
      <c r="D50" t="inlineStr">
        <is>
          <t xml:space="preserve">Course</t>
        </is>
      </c>
      <c r="E50" t="inlineStr">
        <is>
          <t xml:space="preserve"/>
        </is>
      </c>
      <c r="F50" t="inlineStr">
        <is>
          <t xml:space="preserve">Power Automate In Dynamics 365 CE</t>
        </is>
      </c>
      <c r="G50" t="inlineStr">
        <is>
          <t xml:space="preserve">JV UNIVERSE</t>
        </is>
      </c>
      <c r="H50" t="inlineStr">
        <is>
          <t xml:space="preserve"/>
        </is>
      </c>
      <c r="I50" t="inlineStr">
        <is>
          <t xml:space="preserve"/>
        </is>
      </c>
      <c r="J50" t="inlineStr">
        <is>
          <t xml:space="preserve">8 videos</t>
        </is>
      </c>
      <c r="K50" s="2" t="str">
        <f>HYPERLINK("https://www.youtube.com/playlist?list=PL4dp4ysvhmUJBKx8PnugDdW8Iy-6pB8tu","https://www.youtube.com/playlist?list=PL4dp4ysvhmUJBKx8PnugDdW8Iy-6pB8tu")</f>
        <v>https://www.youtube.com/playlist?list=PL4dp4ysvhmUJBKx8PnugDdW8Iy-6pB8tu</v>
      </c>
      <c r="L50" t="inlineStr">
        <is>
          <t xml:space="preserve">Playlist | Introduction to Power Automate &amp; Its Role in Dynamics 365 ft. Jay Patel · 16:49 | Power Automate Flow Types Explained | Dynamics 365 CRM ft. Jay Patel · 42:36 | View full playlist</t>
        </is>
      </c>
      <c r="M50" t="inlineStr">
        <is>
          <t xml:space="preserve">power automate course</t>
        </is>
      </c>
    </row>
    <row r="51">
      <c r="A51" s="3">
        <v>50</v>
      </c>
      <c r="B51" t="inlineStr">
        <is>
          <t xml:space="preserve">Playlist</t>
        </is>
      </c>
      <c r="C51" t="inlineStr">
        <is>
          <t xml:space="preserve">English</t>
        </is>
      </c>
      <c r="D51" t="inlineStr">
        <is>
          <t xml:space="preserve">Course</t>
        </is>
      </c>
      <c r="E51" t="inlineStr">
        <is>
          <t xml:space="preserve"/>
        </is>
      </c>
      <c r="F51" t="inlineStr">
        <is>
          <t xml:space="preserve">Power Automate in a Day Full tutorial - 2026 - By Serge Luca aka "Dr Flow"</t>
        </is>
      </c>
      <c r="G51" t="inlineStr">
        <is>
          <t xml:space="preserve">serge luca aka 'Doctor Flow'</t>
        </is>
      </c>
      <c r="H51" t="inlineStr">
        <is>
          <t xml:space="preserve"/>
        </is>
      </c>
      <c r="I51" t="inlineStr">
        <is>
          <t xml:space="preserve"/>
        </is>
      </c>
      <c r="J51" t="inlineStr">
        <is>
          <t xml:space="preserve">12 videos</t>
        </is>
      </c>
      <c r="K51" s="2" t="str">
        <f>HYPERLINK("https://www.youtube.com/playlist?list=PL6oVinAUc710j7KwOxQUvAXZACagc2k-Y","https://www.youtube.com/playlist?list=PL6oVinAUc710j7KwOxQUvAXZACagc2k-Y")</f>
        <v>https://www.youtube.com/playlist?list=PL6oVinAUc710j7KwOxQUvAXZACagc2k-Y</v>
      </c>
      <c r="L51" t="inlineStr">
        <is>
          <t xml:space="preserve">Playlist | View full playlist</t>
        </is>
      </c>
      <c r="M51" t="inlineStr">
        <is>
          <t xml:space="preserve">power automate course</t>
        </is>
      </c>
    </row>
    <row r="52">
      <c r="A52" s="3">
        <v>51</v>
      </c>
      <c r="B52" t="inlineStr">
        <is>
          <t xml:space="preserve">Playlist</t>
        </is>
      </c>
      <c r="C52" t="inlineStr">
        <is>
          <t xml:space="preserve">English</t>
        </is>
      </c>
      <c r="D52" t="inlineStr">
        <is>
          <t xml:space="preserve">Course</t>
        </is>
      </c>
      <c r="E52" t="inlineStr">
        <is>
          <t xml:space="preserve">AI/Copilot</t>
        </is>
      </c>
      <c r="F52" t="inlineStr">
        <is>
          <t xml:space="preserve">AI in Action: Powering Up with Power Automate Series</t>
        </is>
      </c>
      <c r="G52" t="inlineStr">
        <is>
          <t xml:space="preserve">Microsoft Power Platform</t>
        </is>
      </c>
      <c r="H52" t="inlineStr">
        <is>
          <t xml:space="preserve"/>
        </is>
      </c>
      <c r="I52" t="inlineStr">
        <is>
          <t xml:space="preserve"/>
        </is>
      </c>
      <c r="J52" t="inlineStr">
        <is>
          <t xml:space="preserve">11 videos</t>
        </is>
      </c>
      <c r="K52" s="2" t="str">
        <f>HYPERLINK("https://www.youtube.com/playlist?list=PLi9EhCY4z99VEKqQ3dT5ep_dOiRiRq28X","https://www.youtube.com/playlist?list=PLi9EhCY4z99VEKqQ3dT5ep_dOiRiRq28X")</f>
        <v>https://www.youtube.com/playlist?list=PLi9EhCY4z99VEKqQ3dT5ep_dOiRiRq28X</v>
      </c>
      <c r="L52" t="inlineStr">
        <is>
          <t xml:space="preserve">Playlist | View full playlist</t>
        </is>
      </c>
      <c r="M52" t="inlineStr">
        <is>
          <t xml:space="preserve">power automate course</t>
        </is>
      </c>
    </row>
    <row r="53">
      <c r="A53" s="3">
        <v>52</v>
      </c>
      <c r="B53" t="inlineStr">
        <is>
          <t xml:space="preserve">Playlist</t>
        </is>
      </c>
      <c r="C53" t="inlineStr">
        <is>
          <t xml:space="preserve">English</t>
        </is>
      </c>
      <c r="D53" t="inlineStr">
        <is>
          <t xml:space="preserve">Course</t>
        </is>
      </c>
      <c r="E53" t="inlineStr">
        <is>
          <t xml:space="preserve">Desktop/RPA, Excel, Email/Outlook, AI/Copilot, Web automation</t>
        </is>
      </c>
      <c r="F53" t="inlineStr">
        <is>
          <t xml:space="preserve">How to Use Microsoft Power Automate Desktop</t>
        </is>
      </c>
      <c r="G53" t="inlineStr">
        <is>
          <t xml:space="preserve">Anders Jensen</t>
        </is>
      </c>
      <c r="H53" t="inlineStr">
        <is>
          <t xml:space="preserve"/>
        </is>
      </c>
      <c r="I53" t="inlineStr">
        <is>
          <t xml:space="preserve"/>
        </is>
      </c>
      <c r="J53" t="inlineStr">
        <is>
          <t xml:space="preserve">10 videos</t>
        </is>
      </c>
      <c r="K53" s="2" t="str">
        <f>HYPERLINK("https://www.youtube.com/playlist?list=PLXXz88_TPiHpkqbS8g5GTELId9gRB6ggF","https://www.youtube.com/playlist?list=PLXXz88_TPiHpkqbS8g5GTELId9gRB6ggF")</f>
        <v>https://www.youtube.com/playlist?list=PLXXz88_TPiHpkqbS8g5GTELId9gRB6ggF</v>
      </c>
      <c r="L53" t="inlineStr">
        <is>
          <t xml:space="preserve">Playlist | Updated today | How to Use Variables in Microsoft Power Automate Desktop · 30:26 | How to Use the Recorder in Microsoft Power Automate Desktop · 8:07 | View full playlist | Short Power Automate Desktop how-to tutorials: Variables, the recorder, if and switch, loops, Excel, applications, b</t>
        </is>
      </c>
      <c r="M53" t="inlineStr">
        <is>
          <t xml:space="preserve">power automate tutorial playlist ; power automate desktop</t>
        </is>
      </c>
    </row>
    <row r="54">
      <c r="A54" s="3">
        <v>53</v>
      </c>
      <c r="B54" t="inlineStr">
        <is>
          <t xml:space="preserve">Playlist</t>
        </is>
      </c>
      <c r="C54" t="inlineStr">
        <is>
          <t xml:space="preserve">English</t>
        </is>
      </c>
      <c r="D54" t="inlineStr">
        <is>
          <t xml:space="preserve">Course</t>
        </is>
      </c>
      <c r="E54" t="inlineStr">
        <is>
          <t xml:space="preserve">Desktop/RPA</t>
        </is>
      </c>
      <c r="F54" t="inlineStr">
        <is>
          <t xml:space="preserve">Getting Started with Power Automate Desktop</t>
        </is>
      </c>
      <c r="G54" t="inlineStr">
        <is>
          <t xml:space="preserve">Microsoft Power Platform</t>
        </is>
      </c>
      <c r="H54" t="inlineStr">
        <is>
          <t xml:space="preserve"/>
        </is>
      </c>
      <c r="I54" t="inlineStr">
        <is>
          <t xml:space="preserve"/>
        </is>
      </c>
      <c r="J54" t="inlineStr">
        <is>
          <t xml:space="preserve">11 videos</t>
        </is>
      </c>
      <c r="K54" s="2" t="str">
        <f>HYPERLINK("https://www.youtube.com/playlist?list=PLi9EhCY4z99XC7jwJlMyHU0iYO8dR5cVc","https://www.youtube.com/playlist?list=PLi9EhCY4z99XC7jwJlMyHU0iYO8dR5cVc")</f>
        <v>https://www.youtube.com/playlist?list=PLi9EhCY4z99XC7jwJlMyHU0iYO8dR5cVc</v>
      </c>
      <c r="L54" t="inlineStr">
        <is>
          <t xml:space="preserve">Playlist | Power Automate Desktop Basics · 9:35 | Getting Started with Power Automate Desktop - Part 1 | Creating Your First Flow · 1:09 | View full playlist | Looking to take your first dive into Power Automate Desktop? Look no further! We have all of the info you need, right here!</t>
        </is>
      </c>
      <c r="M54" t="inlineStr">
        <is>
          <t xml:space="preserve">power automate desktop</t>
        </is>
      </c>
    </row>
    <row r="55">
      <c r="A55" s="3">
        <v>54</v>
      </c>
      <c r="B55" t="inlineStr">
        <is>
          <t xml:space="preserve">Playlist</t>
        </is>
      </c>
      <c r="C55" t="inlineStr">
        <is>
          <t xml:space="preserve">English</t>
        </is>
      </c>
      <c r="D55" t="inlineStr">
        <is>
          <t xml:space="preserve">Course</t>
        </is>
      </c>
      <c r="E55" t="inlineStr">
        <is>
          <t xml:space="preserve">Desktop/RPA</t>
        </is>
      </c>
      <c r="F55" t="inlineStr">
        <is>
          <t xml:space="preserve">SAP Automation with Power Automate Desktop</t>
        </is>
      </c>
      <c r="G55" t="inlineStr">
        <is>
          <t xml:space="preserve">Marcelo Cruz</t>
        </is>
      </c>
      <c r="H55" t="inlineStr">
        <is>
          <t xml:space="preserve"/>
        </is>
      </c>
      <c r="I55" t="inlineStr">
        <is>
          <t xml:space="preserve"/>
        </is>
      </c>
      <c r="J55" t="inlineStr">
        <is>
          <t xml:space="preserve">10 videos</t>
        </is>
      </c>
      <c r="K55" s="2" t="str">
        <f>HYPERLINK("https://www.youtube.com/playlist?list=PLH9xqHLsd2zsHS43U52qnIaMyLFMtgBbm","https://www.youtube.com/playlist?list=PLH9xqHLsd2zsHS43U52qnIaMyLFMtgBbm")</f>
        <v>https://www.youtube.com/playlist?list=PLH9xqHLsd2zsHS43U52qnIaMyLFMtgBbm</v>
      </c>
      <c r="L55" t="inlineStr">
        <is>
          <t xml:space="preserve">Playlist | How To Login Into SAP on Power Automate Desktop - RPA Tutorial · 9:23 | How To Automate SAP login with Power Automate Desktop · 6:09 | View full playlist</t>
        </is>
      </c>
      <c r="M55" t="inlineStr">
        <is>
          <t xml:space="preserve">power automate desktop</t>
        </is>
      </c>
    </row>
    <row r="56">
      <c r="A56" s="3">
        <v>55</v>
      </c>
      <c r="B56" t="inlineStr">
        <is>
          <t xml:space="preserve">Playlist</t>
        </is>
      </c>
      <c r="C56" t="inlineStr">
        <is>
          <t xml:space="preserve">English</t>
        </is>
      </c>
      <c r="D56" t="inlineStr">
        <is>
          <t xml:space="preserve">Course</t>
        </is>
      </c>
      <c r="E56" t="inlineStr">
        <is>
          <t xml:space="preserve">Desktop/RPA, Excel, Web automation</t>
        </is>
      </c>
      <c r="F56" t="inlineStr">
        <is>
          <t xml:space="preserve">Power Automate Desktop for Beginners | From Zero to Hero</t>
        </is>
      </c>
      <c r="G56" t="inlineStr">
        <is>
          <t xml:space="preserve">Thomas Janssen</t>
        </is>
      </c>
      <c r="H56" t="inlineStr">
        <is>
          <t xml:space="preserve"/>
        </is>
      </c>
      <c r="I56" t="inlineStr">
        <is>
          <t xml:space="preserve"/>
        </is>
      </c>
      <c r="J56" t="inlineStr">
        <is>
          <t xml:space="preserve">8 videos</t>
        </is>
      </c>
      <c r="K56" s="2" t="str">
        <f>HYPERLINK("https://www.youtube.com/playlist?list=PLgSxNxbk3DbNaKgT4DcXzoABhVvg1JD8y","https://www.youtube.com/playlist?list=PLgSxNxbk3DbNaKgT4DcXzoABhVvg1JD8y")</f>
        <v>https://www.youtube.com/playlist?list=PLgSxNxbk3DbNaKgT4DcXzoABhVvg1JD8y</v>
      </c>
      <c r="L56" t="inlineStr">
        <is>
          <t xml:space="preserve">Playlist | Automate any Web Application with Power Automate Desktop! · 16:36 | Power Automate Desktop Excel Tutorial | Excel Tips &amp; Tricks · 11:47 | View full playlist | Do you want to learn Power Automate Desktop, one of the fastest growing RPA tools which is available for free? In this tutorial yo</t>
        </is>
      </c>
      <c r="M56" t="inlineStr">
        <is>
          <t xml:space="preserve">power automate desktop</t>
        </is>
      </c>
    </row>
    <row r="57">
      <c r="A57" s="3">
        <v>56</v>
      </c>
      <c r="B57" t="inlineStr">
        <is>
          <t xml:space="preserve">Playlist</t>
        </is>
      </c>
      <c r="C57" t="inlineStr">
        <is>
          <t xml:space="preserve">English</t>
        </is>
      </c>
      <c r="D57" t="inlineStr">
        <is>
          <t xml:space="preserve">Course</t>
        </is>
      </c>
      <c r="E57" t="inlineStr">
        <is>
          <t xml:space="preserve">Desktop/RPA</t>
        </is>
      </c>
      <c r="F57" t="inlineStr">
        <is>
          <t xml:space="preserve">Automate It Special Series:  Managing Power Automate for Desktop</t>
        </is>
      </c>
      <c r="G57" t="inlineStr">
        <is>
          <t xml:space="preserve">Microsoft Power Platform</t>
        </is>
      </c>
      <c r="H57" t="inlineStr">
        <is>
          <t xml:space="preserve"/>
        </is>
      </c>
      <c r="I57" t="inlineStr">
        <is>
          <t xml:space="preserve"/>
        </is>
      </c>
      <c r="J57" t="inlineStr">
        <is>
          <t xml:space="preserve">8 videos</t>
        </is>
      </c>
      <c r="K57" s="2" t="str">
        <f>HYPERLINK("https://www.youtube.com/playlist?list=PLi9EhCY4z99XhBAdxiQL2QyOzhVgHxtAP","https://www.youtube.com/playlist?list=PLi9EhCY4z99XhBAdxiQL2QyOzhVgHxtAP")</f>
        <v>https://www.youtube.com/playlist?list=PLi9EhCY4z99XhBAdxiQL2QyOzhVgHxtAP</v>
      </c>
      <c r="L57" t="inlineStr">
        <is>
          <t xml:space="preserve">Playlist | Managing Power Automate for Desktop (PAD) on Windows - Part 1 of 8 · 7:58 | Creating an Intune Package for Microsoft Power Automate for Desktop - Part 2 of 8 · 14:25 | View full playlist | Welcome to a special series around managing Power Automate for desktop on Windows at scale throughou</t>
        </is>
      </c>
      <c r="M57" t="inlineStr">
        <is>
          <t xml:space="preserve">power automate desktop</t>
        </is>
      </c>
    </row>
    <row r="58">
      <c r="A58" s="3">
        <v>57</v>
      </c>
      <c r="B58" t="inlineStr">
        <is>
          <t xml:space="preserve">Playlist</t>
        </is>
      </c>
      <c r="C58" t="inlineStr">
        <is>
          <t xml:space="preserve">English</t>
        </is>
      </c>
      <c r="D58" t="inlineStr">
        <is>
          <t xml:space="preserve">Course</t>
        </is>
      </c>
      <c r="E58" t="inlineStr">
        <is>
          <t xml:space="preserve">SharePoint, PDF</t>
        </is>
      </c>
      <c r="F58" t="inlineStr">
        <is>
          <t xml:space="preserve">Power Automate Flow Ideas</t>
        </is>
      </c>
      <c r="G58" t="inlineStr">
        <is>
          <t xml:space="preserve">A Creative Opinion</t>
        </is>
      </c>
      <c r="H58" t="inlineStr">
        <is>
          <t xml:space="preserve"/>
        </is>
      </c>
      <c r="I58" t="inlineStr">
        <is>
          <t xml:space="preserve"/>
        </is>
      </c>
      <c r="J58" t="inlineStr">
        <is>
          <t xml:space="preserve">26 videos</t>
        </is>
      </c>
      <c r="K58" s="2" t="str">
        <f>HYPERLINK("https://www.youtube.com/playlist?list=PLphkuAZNVjJCT2tMHTDcb0Yz_uT8vCeNI","https://www.youtube.com/playlist?list=PLphkuAZNVjJCT2tMHTDcb0Yz_uT8vCeNI")</f>
        <v>https://www.youtube.com/playlist?list=PLphkuAZNVjJCT2tMHTDcb0Yz_uT8vCeNI</v>
      </c>
      <c r="L58" t="inlineStr">
        <is>
          <t xml:space="preserve">Playlist | How Convert a WORD Doc to PDF by Dragging and Dropping · 0:24 | Grant ITEM LEVEL Permissions on a SharePoint List ITEM with Power Automate · 7:46 | View full playlist</t>
        </is>
      </c>
      <c r="M58" t="inlineStr">
        <is>
          <t xml:space="preserve">power automate project</t>
        </is>
      </c>
    </row>
    <row r="59">
      <c r="A59" s="3">
        <v>58</v>
      </c>
      <c r="B59" t="inlineStr">
        <is>
          <t xml:space="preserve">Playlist</t>
        </is>
      </c>
      <c r="C59" t="inlineStr">
        <is>
          <t xml:space="preserve">English</t>
        </is>
      </c>
      <c r="D59" t="inlineStr">
        <is>
          <t xml:space="preserve">Course</t>
        </is>
      </c>
      <c r="E59" t="inlineStr">
        <is>
          <t xml:space="preserve">Email/Outlook</t>
        </is>
      </c>
      <c r="F59" t="inlineStr">
        <is>
          <t xml:space="preserve">Power Automate</t>
        </is>
      </c>
      <c r="G59" t="inlineStr">
        <is>
          <t xml:space="preserve">Onetidbit</t>
        </is>
      </c>
      <c r="H59" t="inlineStr">
        <is>
          <t xml:space="preserve"/>
        </is>
      </c>
      <c r="I59" t="inlineStr">
        <is>
          <t xml:space="preserve"/>
        </is>
      </c>
      <c r="J59" t="inlineStr">
        <is>
          <t xml:space="preserve">38 videos</t>
        </is>
      </c>
      <c r="K59" s="2" t="str">
        <f>HYPERLINK("https://www.youtube.com/playlist?list=PL7RVk6Wdfyajgyuhzn2inKcapaegffPSI","https://www.youtube.com/playlist?list=PL7RVk6Wdfyajgyuhzn2inKcapaegffPSI")</f>
        <v>https://www.youtube.com/playlist?list=PL7RVk6Wdfyajgyuhzn2inKcapaegffPSI</v>
      </c>
      <c r="L59" t="inlineStr">
        <is>
          <t xml:space="preserve">Playlist | Automate Employees Birthday or Anniversary Emails using Power Automate (MS Flow) · 18:52 | Embed image in Power Automate (MS Flow) Email · 5:11 | View full playlist</t>
        </is>
      </c>
      <c r="M59" t="inlineStr">
        <is>
          <t xml:space="preserve">power automate tutorial bangla</t>
        </is>
      </c>
    </row>
    <row r="60">
      <c r="A60" s="3">
        <v>59</v>
      </c>
      <c r="B60" t="inlineStr">
        <is>
          <t xml:space="preserve">Video</t>
        </is>
      </c>
      <c r="C60" t="inlineStr">
        <is>
          <t xml:space="preserve">English</t>
        </is>
      </c>
      <c r="D60" t="inlineStr">
        <is>
          <t xml:space="preserve">Project / Use case</t>
        </is>
      </c>
      <c r="E60" t="inlineStr">
        <is>
          <t xml:space="preserve">SharePoint, Approvals</t>
        </is>
      </c>
      <c r="F60" t="inlineStr">
        <is>
          <t xml:space="preserve">How to build Power Automate Approval Workflows for SharePoint | Step by Step Tutorial</t>
        </is>
      </c>
      <c r="G60" t="inlineStr">
        <is>
          <t xml:space="preserve">Reza Dorrani</t>
        </is>
      </c>
      <c r="H60" s="3">
        <v>405869</v>
      </c>
      <c r="I60" t="inlineStr">
        <is>
          <t xml:space="preserve">3y ago</t>
        </is>
      </c>
      <c r="J60" t="inlineStr">
        <is>
          <t xml:space="preserve">21:58</t>
        </is>
      </c>
      <c r="K60" s="2" t="str">
        <f>HYPERLINK("https://www.youtube.com/watch?v=tiLyIL6Q2Wk","https://www.youtube.com/watch?v=tiLyIL6Q2Wk")</f>
        <v>https://www.youtube.com/watch?v=tiLyIL6Q2Wk</v>
      </c>
      <c r="L60" t="inlineStr">
        <is>
          <t xml:space="preserve">Step by Step Power Automate Approval tutorial video that covers how to build Approval flows for SharePoint lists, dynamically ...</t>
        </is>
      </c>
      <c r="M60" t="inlineStr">
        <is>
          <t xml:space="preserve">power automate approval workflow ; power automate sharepoint automation</t>
        </is>
      </c>
    </row>
    <row r="61">
      <c r="A61" s="3">
        <v>60</v>
      </c>
      <c r="B61" t="inlineStr">
        <is>
          <t xml:space="preserve">Video</t>
        </is>
      </c>
      <c r="C61" t="inlineStr">
        <is>
          <t xml:space="preserve">English</t>
        </is>
      </c>
      <c r="D61" t="inlineStr">
        <is>
          <t xml:space="preserve">Project / Use case</t>
        </is>
      </c>
      <c r="E61" t="inlineStr">
        <is>
          <t xml:space="preserve">Approvals</t>
        </is>
      </c>
      <c r="F61" t="inlineStr">
        <is>
          <t xml:space="preserve">Power Automate Multi Level Approval Workflow | Serial Approval | Multiple Approvers</t>
        </is>
      </c>
      <c r="G61" t="inlineStr">
        <is>
          <t xml:space="preserve">Reza Dorrani</t>
        </is>
      </c>
      <c r="H61" s="3">
        <v>372022</v>
      </c>
      <c r="I61" t="inlineStr">
        <is>
          <t xml:space="preserve">5y ago</t>
        </is>
      </c>
      <c r="J61" t="inlineStr">
        <is>
          <t xml:space="preserve">17:49</t>
        </is>
      </c>
      <c r="K61" s="2" t="str">
        <f>HYPERLINK("https://www.youtube.com/watch?v=gb_FUeRjgg4","https://www.youtube.com/watch?v=gb_FUeRjgg4")</f>
        <v>https://www.youtube.com/watch?v=gb_FUeRjgg4</v>
      </c>
      <c r="L61" t="inlineStr">
        <is>
          <t xml:space="preserve">In this tutorial video, I will show how to build Multi-Step Approvals in Power Automate. We will build a multi-level / serial approval ...</t>
        </is>
      </c>
      <c r="M61" t="inlineStr">
        <is>
          <t xml:space="preserve">power automate approval workflow</t>
        </is>
      </c>
    </row>
    <row r="62">
      <c r="A62" s="3">
        <v>61</v>
      </c>
      <c r="B62" t="inlineStr">
        <is>
          <t xml:space="preserve">Video</t>
        </is>
      </c>
      <c r="C62" t="inlineStr">
        <is>
          <t xml:space="preserve">English</t>
        </is>
      </c>
      <c r="D62" t="inlineStr">
        <is>
          <t xml:space="preserve">Project / Use case</t>
        </is>
      </c>
      <c r="E62" t="inlineStr">
        <is>
          <t xml:space="preserve">Power Apps, Dataverse</t>
        </is>
      </c>
      <c r="F62" t="inlineStr">
        <is>
          <t xml:space="preserve">Complete Project with Power BI, Power Apps, Power Automate and Dataverse</t>
        </is>
      </c>
      <c r="G62" t="inlineStr">
        <is>
          <t xml:space="preserve">How to Power BI</t>
        </is>
      </c>
      <c r="H62" s="3">
        <v>198777</v>
      </c>
      <c r="I62" t="inlineStr">
        <is>
          <t xml:space="preserve">2y ago</t>
        </is>
      </c>
      <c r="J62" t="inlineStr">
        <is>
          <t xml:space="preserve">1:12:45</t>
        </is>
      </c>
      <c r="K62" s="2" t="str">
        <f>HYPERLINK("https://www.youtube.com/watch?v=5Ohp79PLlM8","https://www.youtube.com/watch?v=5Ohp79PLlM8")</f>
        <v>https://www.youtube.com/watch?v=5Ohp79PLlM8</v>
      </c>
      <c r="L62" t="inlineStr">
        <is>
          <t xml:space="preserve">Join my Power BI Design training here: https://my.datatraining.io/pages/powerbidesigntransformation Learn how to work with ...</t>
        </is>
      </c>
      <c r="M62" t="inlineStr">
        <is>
          <t xml:space="preserve">power automate project ; power apps power automate project</t>
        </is>
      </c>
    </row>
    <row r="63">
      <c r="A63" s="3">
        <v>62</v>
      </c>
      <c r="B63" t="inlineStr">
        <is>
          <t xml:space="preserve">Video</t>
        </is>
      </c>
      <c r="C63" t="inlineStr">
        <is>
          <t xml:space="preserve">English</t>
        </is>
      </c>
      <c r="D63" t="inlineStr">
        <is>
          <t xml:space="preserve">Project / Use case</t>
        </is>
      </c>
      <c r="E63" t="inlineStr">
        <is>
          <t xml:space="preserve">SharePoint, Approvals</t>
        </is>
      </c>
      <c r="F63" t="inlineStr">
        <is>
          <t xml:space="preserve">Power Automate Document Approval workflow for SharePoint</t>
        </is>
      </c>
      <c r="G63" t="inlineStr">
        <is>
          <t xml:space="preserve">Reza Dorrani</t>
        </is>
      </c>
      <c r="H63" s="3">
        <v>195242</v>
      </c>
      <c r="I63" t="inlineStr">
        <is>
          <t xml:space="preserve">5y ago</t>
        </is>
      </c>
      <c r="J63" t="inlineStr">
        <is>
          <t xml:space="preserve">27:46</t>
        </is>
      </c>
      <c r="K63" s="2" t="str">
        <f>HYPERLINK("https://www.youtube.com/watch?v=NZeJB4dGCq0","https://www.youtube.com/watch?v=NZeJB4dGCq0")</f>
        <v>https://www.youtube.com/watch?v=NZeJB4dGCq0</v>
      </c>
      <c r="L63" t="inlineStr">
        <is>
          <t xml:space="preserve">In this video, you will learn how to build a content approval process workflow for SharePoint document library with Power ...</t>
        </is>
      </c>
      <c r="M63" t="inlineStr">
        <is>
          <t xml:space="preserve">power automate sharepoint automation</t>
        </is>
      </c>
    </row>
    <row r="64">
      <c r="A64" s="3">
        <v>63</v>
      </c>
      <c r="B64" t="inlineStr">
        <is>
          <t xml:space="preserve">Video</t>
        </is>
      </c>
      <c r="C64" t="inlineStr">
        <is>
          <t xml:space="preserve">English</t>
        </is>
      </c>
      <c r="D64" t="inlineStr">
        <is>
          <t xml:space="preserve">Project / Use case</t>
        </is>
      </c>
      <c r="E64" t="inlineStr">
        <is>
          <t xml:space="preserve">AI/Copilot</t>
        </is>
      </c>
      <c r="F64" t="inlineStr">
        <is>
          <t xml:space="preserve">Power Automate Copilot - Build a flow by describing it</t>
        </is>
      </c>
      <c r="G64" t="inlineStr">
        <is>
          <t xml:space="preserve">Microsoft Power Platform</t>
        </is>
      </c>
      <c r="H64" s="3">
        <v>143058</v>
      </c>
      <c r="I64" t="inlineStr">
        <is>
          <t xml:space="preserve">3y ago</t>
        </is>
      </c>
      <c r="J64" t="inlineStr">
        <is>
          <t xml:space="preserve">0:52</t>
        </is>
      </c>
      <c r="K64" s="2" t="str">
        <f>HYPERLINK("https://www.youtube.com/watch?v=Qvv2X3DGIDM","https://www.youtube.com/watch?v=Qvv2X3DGIDM")</f>
        <v>https://www.youtube.com/watch?v=Qvv2X3DGIDM</v>
      </c>
      <c r="L64" t="inlineStr">
        <is>
          <t xml:space="preserve">Copilots are everywhere, including Power Automate. Now we can build a flow simply by using natural language to tell it what we ...</t>
        </is>
      </c>
      <c r="M64" t="inlineStr">
        <is>
          <t xml:space="preserve">power automate cloud flow tutorial</t>
        </is>
      </c>
    </row>
    <row r="65">
      <c r="A65" s="3">
        <v>64</v>
      </c>
      <c r="B65" t="inlineStr">
        <is>
          <t xml:space="preserve">Video</t>
        </is>
      </c>
      <c r="C65" t="inlineStr">
        <is>
          <t xml:space="preserve">English</t>
        </is>
      </c>
      <c r="D65" t="inlineStr">
        <is>
          <t xml:space="preserve">Project / Use case</t>
        </is>
      </c>
      <c r="E65" t="inlineStr">
        <is>
          <t xml:space="preserve">Desktop/RPA, Web automation</t>
        </is>
      </c>
      <c r="F65" t="inlineStr">
        <is>
          <t xml:space="preserve">Get Started with Power Automate Desktop: Tutorial for Beginners (2026)</t>
        </is>
      </c>
      <c r="G65" t="inlineStr">
        <is>
          <t xml:space="preserve">Anders Jensen</t>
        </is>
      </c>
      <c r="H65" s="3">
        <v>109008</v>
      </c>
      <c r="I65" t="inlineStr">
        <is>
          <t xml:space="preserve">1y ago</t>
        </is>
      </c>
      <c r="J65" t="inlineStr">
        <is>
          <t xml:space="preserve">1:04:19</t>
        </is>
      </c>
      <c r="K65" s="2" t="str">
        <f>HYPERLINK("https://www.youtube.com/watch?v=fZiNq7OQQ6s","https://www.youtube.com/watch?v=fZiNq7OQQ6s")</f>
        <v>https://www.youtube.com/watch?v=fZiNq7OQQ6s</v>
      </c>
      <c r="L65" t="inlineStr">
        <is>
          <t xml:space="preserve">Get started with Power Automate Desktop in this beginner tutorial: Build a complete RPA flow that logs in to a website, searches ...</t>
        </is>
      </c>
      <c r="M65" t="inlineStr">
        <is>
          <t xml:space="preserve">power automate tutorial for beginners ; power automate desktop full course ; power automate desktop project</t>
        </is>
      </c>
    </row>
    <row r="66">
      <c r="A66" s="3">
        <v>65</v>
      </c>
      <c r="B66" t="inlineStr">
        <is>
          <t xml:space="preserve">Video</t>
        </is>
      </c>
      <c r="C66" t="inlineStr">
        <is>
          <t xml:space="preserve">English</t>
        </is>
      </c>
      <c r="D66" t="inlineStr">
        <is>
          <t xml:space="preserve">Project / Use case</t>
        </is>
      </c>
      <c r="E66" t="inlineStr">
        <is>
          <t xml:space="preserve">Power Apps</t>
        </is>
      </c>
      <c r="F66" t="inlineStr">
        <is>
          <t xml:space="preserve">Connecting Power Apps to Power Automate - How it Works and What to Expect</t>
        </is>
      </c>
      <c r="G66" t="inlineStr">
        <is>
          <t xml:space="preserve">Bulb Digital</t>
        </is>
      </c>
      <c r="H66" s="3">
        <v>75306</v>
      </c>
      <c r="I66" t="inlineStr">
        <is>
          <t xml:space="preserve">4y ago</t>
        </is>
      </c>
      <c r="J66" t="inlineStr">
        <is>
          <t xml:space="preserve">19:34</t>
        </is>
      </c>
      <c r="K66" s="2" t="str">
        <f>HYPERLINK("https://www.youtube.com/watch?v=-hDO9s1zCb0","https://www.youtube.com/watch?v=-hDO9s1zCb0")</f>
        <v>https://www.youtube.com/watch?v=-hDO9s1zCb0</v>
      </c>
      <c r="L66" t="inlineStr">
        <is>
          <t xml:space="preserve">If you're looking to enhance the functionality of your Power App, consider using Power Automate to create flows. Full Blog Writeup: ...</t>
        </is>
      </c>
      <c r="M66" t="inlineStr">
        <is>
          <t xml:space="preserve">power apps power automate project</t>
        </is>
      </c>
    </row>
    <row r="67">
      <c r="A67" s="3">
        <v>66</v>
      </c>
      <c r="B67" t="inlineStr">
        <is>
          <t xml:space="preserve">Video</t>
        </is>
      </c>
      <c r="C67" t="inlineStr">
        <is>
          <t xml:space="preserve">English</t>
        </is>
      </c>
      <c r="D67" t="inlineStr">
        <is>
          <t xml:space="preserve">Project / Use case</t>
        </is>
      </c>
      <c r="E67" t="inlineStr">
        <is>
          <t xml:space="preserve">SharePoint, Power Apps</t>
        </is>
      </c>
      <c r="F67" t="inlineStr">
        <is>
          <t xml:space="preserve">Build Inventory Management System in PowerApps with SharePoint List | Power Platform Project</t>
        </is>
      </c>
      <c r="G67" t="inlineStr">
        <is>
          <t xml:space="preserve">KnowHow Academy</t>
        </is>
      </c>
      <c r="H67" s="3">
        <v>57268</v>
      </c>
      <c r="I67" t="inlineStr">
        <is>
          <t xml:space="preserve">1y ago</t>
        </is>
      </c>
      <c r="J67" t="inlineStr">
        <is>
          <t xml:space="preserve">23:17</t>
        </is>
      </c>
      <c r="K67" s="2" t="str">
        <f>HYPERLINK("https://www.youtube.com/watch?v=ZYmV4flkc1Y","https://www.youtube.com/watch?v=ZYmV4flkc1Y")</f>
        <v>https://www.youtube.com/watch?v=ZYmV4flkc1Y</v>
      </c>
      <c r="L67" t="inlineStr">
        <is>
          <t xml:space="preserve">In this Power Platform Video , you will learn, how to streamline your inventory management process by creating an Inventory ...</t>
        </is>
      </c>
      <c r="M67" t="inlineStr">
        <is>
          <t xml:space="preserve">power apps power automate project</t>
        </is>
      </c>
    </row>
    <row r="68">
      <c r="A68" s="3">
        <v>67</v>
      </c>
      <c r="B68" t="inlineStr">
        <is>
          <t xml:space="preserve">Video</t>
        </is>
      </c>
      <c r="C68" t="inlineStr">
        <is>
          <t xml:space="preserve">English</t>
        </is>
      </c>
      <c r="D68" t="inlineStr">
        <is>
          <t xml:space="preserve">Project / Use case</t>
        </is>
      </c>
      <c r="E68" t="inlineStr">
        <is>
          <t xml:space="preserve">Desktop/RPA</t>
        </is>
      </c>
      <c r="F68" t="inlineStr">
        <is>
          <t xml:space="preserve">Microsoft Power Automate Desktop For Beginners</t>
        </is>
      </c>
      <c r="G68" t="inlineStr">
        <is>
          <t xml:space="preserve">Anders Jensen</t>
        </is>
      </c>
      <c r="H68" s="3">
        <v>56807</v>
      </c>
      <c r="I68" t="inlineStr">
        <is>
          <t xml:space="preserve">4y ago</t>
        </is>
      </c>
      <c r="J68" t="inlineStr">
        <is>
          <t xml:space="preserve">4:30:09</t>
        </is>
      </c>
      <c r="K68" s="2" t="str">
        <f>HYPERLINK("https://www.youtube.com/watch?v=HUq6ZQhOpbk","https://www.youtube.com/watch?v=HUq6ZQhOpbk")</f>
        <v>https://www.youtube.com/watch?v=HUq6ZQhOpbk</v>
      </c>
      <c r="L68" t="inlineStr">
        <is>
          <t xml:space="preserve">This complete Microsoft Power Automate Desktop course for Beginners teaches you how to build RPA with easy use cases.</t>
        </is>
      </c>
      <c r="M68" t="inlineStr">
        <is>
          <t xml:space="preserve">power automate desktop full course</t>
        </is>
      </c>
    </row>
    <row r="69">
      <c r="A69" s="3">
        <v>68</v>
      </c>
      <c r="B69" t="inlineStr">
        <is>
          <t xml:space="preserve">Video</t>
        </is>
      </c>
      <c r="C69" t="inlineStr">
        <is>
          <t xml:space="preserve">English</t>
        </is>
      </c>
      <c r="D69" t="inlineStr">
        <is>
          <t xml:space="preserve">Project / Use case</t>
        </is>
      </c>
      <c r="E69" t="inlineStr">
        <is>
          <t xml:space="preserve">Desktop/RPA, Excel</t>
        </is>
      </c>
      <c r="F69" t="inlineStr">
        <is>
          <t xml:space="preserve">Excel in Power Automate for Desktop (Full Tutorial)</t>
        </is>
      </c>
      <c r="G69" t="inlineStr">
        <is>
          <t xml:space="preserve">Anders Jensen</t>
        </is>
      </c>
      <c r="H69" s="3">
        <v>43397</v>
      </c>
      <c r="I69" t="inlineStr">
        <is>
          <t xml:space="preserve">4y ago</t>
        </is>
      </c>
      <c r="J69" t="inlineStr">
        <is>
          <t xml:space="preserve">28:39</t>
        </is>
      </c>
      <c r="K69" s="2" t="str">
        <f>HYPERLINK("https://www.youtube.com/watch?v=zVvaRCZqZ7E","https://www.youtube.com/watch?v=zVvaRCZqZ7E")</f>
        <v>https://www.youtube.com/watch?v=zVvaRCZqZ7E</v>
      </c>
      <c r="L69" t="inlineStr">
        <is>
          <t xml:space="preserve">This video tutorial shows how to automate Excel with Microsoft Power Automate for desktop. With this full use case, you'll learn all ...</t>
        </is>
      </c>
      <c r="M69" t="inlineStr">
        <is>
          <t xml:space="preserve">power automate excel automation ; power automate desktop</t>
        </is>
      </c>
    </row>
    <row r="70">
      <c r="A70" s="3">
        <v>69</v>
      </c>
      <c r="B70" t="inlineStr">
        <is>
          <t xml:space="preserve">Video</t>
        </is>
      </c>
      <c r="C70" t="inlineStr">
        <is>
          <t xml:space="preserve">English</t>
        </is>
      </c>
      <c r="D70" t="inlineStr">
        <is>
          <t xml:space="preserve">Project / Use case</t>
        </is>
      </c>
      <c r="E70" t="inlineStr">
        <is>
          <t xml:space="preserve">Desktop/RPA, Web automation</t>
        </is>
      </c>
      <c r="F70" t="inlineStr">
        <is>
          <t xml:space="preserve">Power Automate Desktop : Working with (Entire) Web Form Filling Actions - Demo Project (Detailed)</t>
        </is>
      </c>
      <c r="G70" t="inlineStr">
        <is>
          <t xml:space="preserve">Learn RPA &amp; AI Technologies every day</t>
        </is>
      </c>
      <c r="H70" s="3">
        <v>37751</v>
      </c>
      <c r="I70" t="inlineStr">
        <is>
          <t xml:space="preserve">5y ago</t>
        </is>
      </c>
      <c r="J70" t="inlineStr">
        <is>
          <t xml:space="preserve">19:07</t>
        </is>
      </c>
      <c r="K70" s="2" t="str">
        <f>HYPERLINK("https://www.youtube.com/watch?v=6K1qQLp9VH8","https://www.youtube.com/watch?v=6K1qQLp9VH8")</f>
        <v>https://www.youtube.com/watch?v=6K1qQLp9VH8</v>
      </c>
      <c r="L70" t="inlineStr">
        <is>
          <t xml:space="preserve">powerAutomatedesktop #powerAutomate #RPA #Web Automation : How to work with Web Form Filling Actions - Demo project ...</t>
        </is>
      </c>
      <c r="M70" t="inlineStr">
        <is>
          <t xml:space="preserve">power automate desktop project</t>
        </is>
      </c>
    </row>
    <row r="71">
      <c r="A71" s="3">
        <v>70</v>
      </c>
      <c r="B71" t="inlineStr">
        <is>
          <t xml:space="preserve">Video</t>
        </is>
      </c>
      <c r="C71" t="inlineStr">
        <is>
          <t xml:space="preserve">English</t>
        </is>
      </c>
      <c r="D71" t="inlineStr">
        <is>
          <t xml:space="preserve">Project / Use case</t>
        </is>
      </c>
      <c r="E71" t="inlineStr">
        <is>
          <t xml:space="preserve">Desktop/RPA</t>
        </is>
      </c>
      <c r="F71" t="inlineStr">
        <is>
          <t xml:space="preserve">Power Automate Desktop || Project #1 : HR Usecase  - Employee Onboarding Process - Part 1</t>
        </is>
      </c>
      <c r="G71" t="inlineStr">
        <is>
          <t xml:space="preserve">Learn RPA &amp; AI Technologies every day</t>
        </is>
      </c>
      <c r="H71" s="3">
        <v>37403</v>
      </c>
      <c r="I71" t="inlineStr">
        <is>
          <t xml:space="preserve">4y ago</t>
        </is>
      </c>
      <c r="J71" t="inlineStr">
        <is>
          <t xml:space="preserve">12:37</t>
        </is>
      </c>
      <c r="K71" s="2" t="str">
        <f>HYPERLINK("https://www.youtube.com/watch?v=Fw-_cSNcuqw","https://www.youtube.com/watch?v=Fw-_cSNcuqw")</f>
        <v>https://www.youtube.com/watch?v=Fw-_cSNcuqw</v>
      </c>
      <c r="L71" t="inlineStr">
        <is>
          <t xml:space="preserve">MicrosoftPowerAutomate #MicrosoftPowerAutomateDesktop #powerAutomatedesktop #powerAutomate #RPA #Microsoft ...</t>
        </is>
      </c>
      <c r="M71" t="inlineStr">
        <is>
          <t xml:space="preserve">power automate desktop project</t>
        </is>
      </c>
    </row>
    <row r="72">
      <c r="A72" s="3">
        <v>71</v>
      </c>
      <c r="B72" t="inlineStr">
        <is>
          <t xml:space="preserve">Video</t>
        </is>
      </c>
      <c r="C72" t="inlineStr">
        <is>
          <t xml:space="preserve">English</t>
        </is>
      </c>
      <c r="D72" t="inlineStr">
        <is>
          <t xml:space="preserve">Project / Use case</t>
        </is>
      </c>
      <c r="E72" t="inlineStr">
        <is>
          <t xml:space="preserve">Approvals</t>
        </is>
      </c>
      <c r="F72" t="inlineStr">
        <is>
          <t xml:space="preserve">How to Build Power Automate Approval Workflow for Beginners</t>
        </is>
      </c>
      <c r="G72" t="inlineStr">
        <is>
          <t xml:space="preserve">Heather Majors</t>
        </is>
      </c>
      <c r="H72" s="3">
        <v>33672</v>
      </c>
      <c r="I72" t="inlineStr">
        <is>
          <t xml:space="preserve">4y ago</t>
        </is>
      </c>
      <c r="J72" t="inlineStr">
        <is>
          <t xml:space="preserve">8:51</t>
        </is>
      </c>
      <c r="K72" s="2" t="str">
        <f>HYPERLINK("https://www.youtube.com/watch?v=8-kl3DnPDBs","https://www.youtube.com/watch?v=8-kl3DnPDBs")</f>
        <v>https://www.youtube.com/watch?v=8-kl3DnPDBs</v>
      </c>
      <c r="L72" t="inlineStr">
        <is>
          <t xml:space="preserve">Microsoft has made some updates to Power Automate since this video was originally created. To see an updated case study go ...</t>
        </is>
      </c>
      <c r="M72" t="inlineStr">
        <is>
          <t xml:space="preserve">power automate approval workflow</t>
        </is>
      </c>
    </row>
    <row r="73">
      <c r="A73" s="3">
        <v>72</v>
      </c>
      <c r="B73" t="inlineStr">
        <is>
          <t xml:space="preserve">Video</t>
        </is>
      </c>
      <c r="C73" t="inlineStr">
        <is>
          <t xml:space="preserve">English</t>
        </is>
      </c>
      <c r="D73" t="inlineStr">
        <is>
          <t xml:space="preserve">Project / Use case</t>
        </is>
      </c>
      <c r="E73" t="inlineStr">
        <is>
          <t xml:space="preserve">SharePoint</t>
        </is>
      </c>
      <c r="F73" t="inlineStr">
        <is>
          <t xml:space="preserve">Power Automate: The Best SharePoint Workflows</t>
        </is>
      </c>
      <c r="G73" t="inlineStr">
        <is>
          <t xml:space="preserve">SharePoint Dougie</t>
        </is>
      </c>
      <c r="H73" s="3">
        <v>31179</v>
      </c>
      <c r="I73" t="inlineStr">
        <is>
          <t xml:space="preserve">2y ago</t>
        </is>
      </c>
      <c r="J73" t="inlineStr">
        <is>
          <t xml:space="preserve">12:26</t>
        </is>
      </c>
      <c r="K73" s="2" t="str">
        <f>HYPERLINK("https://www.youtube.com/watch?v=DyvsYJVH56U","https://www.youtube.com/watch?v=DyvsYJVH56U")</f>
        <v>https://www.youtube.com/watch?v=DyvsYJVH56U</v>
      </c>
      <c r="L73" t="inlineStr">
        <is>
          <t xml:space="preserve">Discover my top 5 SharePoint workflow in Power Automate with real world examples. Need a Consultant? Contact ...</t>
        </is>
      </c>
      <c r="M73" t="inlineStr">
        <is>
          <t xml:space="preserve">power automate sharepoint automation</t>
        </is>
      </c>
    </row>
    <row r="74">
      <c r="A74" s="3">
        <v>73</v>
      </c>
      <c r="B74" t="inlineStr">
        <is>
          <t xml:space="preserve">Video</t>
        </is>
      </c>
      <c r="C74" t="inlineStr">
        <is>
          <t xml:space="preserve">English</t>
        </is>
      </c>
      <c r="D74" t="inlineStr">
        <is>
          <t xml:space="preserve">Project / Use case</t>
        </is>
      </c>
      <c r="E74" t="inlineStr">
        <is>
          <t xml:space="preserve">Desktop/RPA</t>
        </is>
      </c>
      <c r="F74" t="inlineStr">
        <is>
          <t xml:space="preserve">Power Automate Desktop - 5 real life use cases</t>
        </is>
      </c>
      <c r="G74" t="inlineStr">
        <is>
          <t xml:space="preserve">Mathias Kjeldsen</t>
        </is>
      </c>
      <c r="H74" s="3">
        <v>28670</v>
      </c>
      <c r="I74" t="inlineStr">
        <is>
          <t xml:space="preserve">2y ago</t>
        </is>
      </c>
      <c r="J74" t="inlineStr">
        <is>
          <t xml:space="preserve">8:40</t>
        </is>
      </c>
      <c r="K74" s="2" t="str">
        <f>HYPERLINK("https://www.youtube.com/watch?v=3Wu02mycCYQ","https://www.youtube.com/watch?v=3Wu02mycCYQ")</f>
        <v>https://www.youtube.com/watch?v=3Wu02mycCYQ</v>
      </c>
      <c r="L74" t="inlineStr">
        <is>
          <t xml:space="preserve">A bit of a different style video this week. I have gathered a few good use cases if you are wondering what you can use Power ...</t>
        </is>
      </c>
      <c r="M74" t="inlineStr">
        <is>
          <t xml:space="preserve">power automate real world project</t>
        </is>
      </c>
    </row>
    <row r="75">
      <c r="A75" s="3">
        <v>74</v>
      </c>
      <c r="B75" t="inlineStr">
        <is>
          <t xml:space="preserve">Video</t>
        </is>
      </c>
      <c r="C75" t="inlineStr">
        <is>
          <t xml:space="preserve">English</t>
        </is>
      </c>
      <c r="D75" t="inlineStr">
        <is>
          <t xml:space="preserve">Project / Use case</t>
        </is>
      </c>
      <c r="E75" t="inlineStr">
        <is>
          <t xml:space="preserve">Email/Outlook</t>
        </is>
      </c>
      <c r="F75" t="inlineStr">
        <is>
          <t xml:space="preserve">7 Power Automate Data Operations: Complete Power Platform Guide with Real Email &amp; CSV Use Cases</t>
        </is>
      </c>
      <c r="G75" t="inlineStr">
        <is>
          <t xml:space="preserve">DamoBird365</t>
        </is>
      </c>
      <c r="H75" s="3">
        <v>23164</v>
      </c>
      <c r="I75" t="inlineStr">
        <is>
          <t xml:space="preserve">1y ago</t>
        </is>
      </c>
      <c r="J75" t="inlineStr">
        <is>
          <t xml:space="preserve">23:51</t>
        </is>
      </c>
      <c r="K75" s="2" t="str">
        <f>HYPERLINK("https://www.youtube.com/watch?v=YfhaU17Q-Rg","https://www.youtube.com/watch?v=YfhaU17Q-Rg")</f>
        <v>https://www.youtube.com/watch?v=YfhaU17Q-Rg</v>
      </c>
      <c r="L75" t="inlineStr">
        <is>
          <t xml:space="preserve">Struggling to manipulate and transform data in Power Automate? Unlock the full power of data operations in Power Platform with ...</t>
        </is>
      </c>
      <c r="M75" t="inlineStr">
        <is>
          <t xml:space="preserve">power automate real world project</t>
        </is>
      </c>
    </row>
    <row r="76">
      <c r="A76" s="3">
        <v>75</v>
      </c>
      <c r="B76" t="inlineStr">
        <is>
          <t xml:space="preserve">Video</t>
        </is>
      </c>
      <c r="C76" t="inlineStr">
        <is>
          <t xml:space="preserve">English</t>
        </is>
      </c>
      <c r="D76" t="inlineStr">
        <is>
          <t xml:space="preserve">Project / Use case</t>
        </is>
      </c>
      <c r="E76" t="inlineStr">
        <is>
          <t xml:space="preserve">Approvals, Power Apps</t>
        </is>
      </c>
      <c r="F76" t="inlineStr">
        <is>
          <t xml:space="preserve">Power Apps Approval Request Screen + Multi-Step Approval Workflow 🚀</t>
        </is>
      </c>
      <c r="G76" t="inlineStr">
        <is>
          <t xml:space="preserve">Reza Dorrani</t>
        </is>
      </c>
      <c r="H76" s="3">
        <v>22865</v>
      </c>
      <c r="I76" t="inlineStr">
        <is>
          <t xml:space="preserve">1mo ago</t>
        </is>
      </c>
      <c r="J76" t="inlineStr">
        <is>
          <t xml:space="preserve">26:13</t>
        </is>
      </c>
      <c r="K76" s="2" t="str">
        <f>HYPERLINK("https://www.youtube.com/watch?v=6oFdLMeaEpw","https://www.youtube.com/watch?v=6oFdLMeaEpw")</f>
        <v>https://www.youtube.com/watch?v=6oFdLMeaEpw</v>
      </c>
      <c r="L76" t="inlineStr">
        <is>
          <t xml:space="preserve">Build a complete multi-step approval solution in Power Apps and Power Automate using the new Approval Request Modern ...</t>
        </is>
      </c>
      <c r="M76" t="inlineStr">
        <is>
          <t xml:space="preserve">power automate approval workflow</t>
        </is>
      </c>
    </row>
    <row r="77">
      <c r="A77" s="3">
        <v>76</v>
      </c>
      <c r="B77" t="inlineStr">
        <is>
          <t xml:space="preserve">Video</t>
        </is>
      </c>
      <c r="C77" t="inlineStr">
        <is>
          <t xml:space="preserve">English</t>
        </is>
      </c>
      <c r="D77" t="inlineStr">
        <is>
          <t xml:space="preserve">Project / Use case</t>
        </is>
      </c>
      <c r="E77" t="inlineStr">
        <is>
          <t xml:space="preserve">AI/Copilot</t>
        </is>
      </c>
      <c r="F77" t="inlineStr">
        <is>
          <t xml:space="preserve">Copilot Agent Flow vs Power Automate | Key Differences, Licensing &amp; When to Use What?</t>
        </is>
      </c>
      <c r="G77" t="inlineStr">
        <is>
          <t xml:space="preserve">Dhruvin Shah</t>
        </is>
      </c>
      <c r="H77" s="3">
        <v>19349</v>
      </c>
      <c r="I77" t="inlineStr">
        <is>
          <t xml:space="preserve">1y ago</t>
        </is>
      </c>
      <c r="J77" t="inlineStr">
        <is>
          <t xml:space="preserve">8:16</t>
        </is>
      </c>
      <c r="K77" s="2" t="str">
        <f>HYPERLINK("https://www.youtube.com/watch?v=0x1eYox5yoE","https://www.youtube.com/watch?v=0x1eYox5yoE")</f>
        <v>https://www.youtube.com/watch?v=0x1eYox5yoE</v>
      </c>
      <c r="L77" t="inlineStr">
        <is>
          <t xml:space="preserve">Copilot Agent Flow vs Power Automate Flow – Which One Should You Use? In this video, I break down the real-world differences ...</t>
        </is>
      </c>
      <c r="M77" t="inlineStr">
        <is>
          <t xml:space="preserve">power automate copilot</t>
        </is>
      </c>
    </row>
    <row r="78">
      <c r="A78" s="3">
        <v>77</v>
      </c>
      <c r="B78" t="inlineStr">
        <is>
          <t xml:space="preserve">Video</t>
        </is>
      </c>
      <c r="C78" t="inlineStr">
        <is>
          <t xml:space="preserve">English</t>
        </is>
      </c>
      <c r="D78" t="inlineStr">
        <is>
          <t xml:space="preserve">Project / Use case</t>
        </is>
      </c>
      <c r="E78" t="inlineStr">
        <is>
          <t xml:space="preserve">Power Apps</t>
        </is>
      </c>
      <c r="F78" t="inlineStr">
        <is>
          <t xml:space="preserve">Power Apps and Power Automate Real World Solution Architecture Guide</t>
        </is>
      </c>
      <c r="G78" t="inlineStr">
        <is>
          <t xml:space="preserve">Microsoft Power Platform</t>
        </is>
      </c>
      <c r="H78" s="3">
        <v>16922</v>
      </c>
      <c r="I78" t="inlineStr">
        <is>
          <t xml:space="preserve">6y ago</t>
        </is>
      </c>
      <c r="J78" t="inlineStr">
        <is>
          <t xml:space="preserve">1:07:52</t>
        </is>
      </c>
      <c r="K78" s="2" t="str">
        <f>HYPERLINK("https://www.youtube.com/watch?v=R8Fp8FdogsI","https://www.youtube.com/watch?v=R8Fp8FdogsI")</f>
        <v>https://www.youtube.com/watch?v=R8Fp8FdogsI</v>
      </c>
      <c r="L78" t="inlineStr">
        <is>
          <t xml:space="preserve">The Power Apps and Automate Architecture Series, presented by Power CAT, will prepare you for upcoming complex Power ...</t>
        </is>
      </c>
      <c r="M78" t="inlineStr">
        <is>
          <t xml:space="preserve">power automate real world project</t>
        </is>
      </c>
    </row>
    <row r="79">
      <c r="A79" s="3">
        <v>78</v>
      </c>
      <c r="B79" t="inlineStr">
        <is>
          <t xml:space="preserve">Video</t>
        </is>
      </c>
      <c r="C79" t="inlineStr">
        <is>
          <t xml:space="preserve">English</t>
        </is>
      </c>
      <c r="D79" t="inlineStr">
        <is>
          <t xml:space="preserve">Project / Use case</t>
        </is>
      </c>
      <c r="E79" t="inlineStr">
        <is>
          <t xml:space="preserve">Email/Outlook, AI/Copilot</t>
        </is>
      </c>
      <c r="F79" t="inlineStr">
        <is>
          <t xml:space="preserve">Complete AI Builder Use Case: Classify Emails in Power Automate</t>
        </is>
      </c>
      <c r="G79" t="inlineStr">
        <is>
          <t xml:space="preserve">Anders Jensen</t>
        </is>
      </c>
      <c r="H79" s="3">
        <v>16859</v>
      </c>
      <c r="I79" t="inlineStr">
        <is>
          <t xml:space="preserve">11mo ago</t>
        </is>
      </c>
      <c r="J79" t="inlineStr">
        <is>
          <t xml:space="preserve">50:11</t>
        </is>
      </c>
      <c r="K79" s="2" t="str">
        <f>HYPERLINK("https://www.youtube.com/watch?v=2mq_cFMvfoY","https://www.youtube.com/watch?v=2mq_cFMvfoY")</f>
        <v>https://www.youtube.com/watch?v=2mq_cFMvfoY</v>
      </c>
      <c r="L79" t="inlineStr">
        <is>
          <t xml:space="preserve">Learn how to build a complete email classification system using AI Builder and Power Automate. This real-world use case shows ...</t>
        </is>
      </c>
      <c r="M79" t="inlineStr">
        <is>
          <t xml:space="preserve">power automate AI builder</t>
        </is>
      </c>
    </row>
    <row r="80">
      <c r="A80" s="3">
        <v>79</v>
      </c>
      <c r="B80" t="inlineStr">
        <is>
          <t xml:space="preserve">Video</t>
        </is>
      </c>
      <c r="C80" t="inlineStr">
        <is>
          <t xml:space="preserve">English</t>
        </is>
      </c>
      <c r="D80" t="inlineStr">
        <is>
          <t xml:space="preserve">Project / Use case</t>
        </is>
      </c>
      <c r="E80" t="inlineStr">
        <is>
          <t xml:space="preserve">Forms</t>
        </is>
      </c>
      <c r="F80" t="inlineStr">
        <is>
          <t xml:space="preserve">Microsoft Power Automate Tutorial -  Flows and Forms in the Real World</t>
        </is>
      </c>
      <c r="G80" t="inlineStr">
        <is>
          <t xml:space="preserve">Jon Levesque</t>
        </is>
      </c>
      <c r="H80" s="3">
        <v>16223</v>
      </c>
      <c r="I80" t="inlineStr">
        <is>
          <t xml:space="preserve">7y ago</t>
        </is>
      </c>
      <c r="J80" t="inlineStr">
        <is>
          <t xml:space="preserve">11:59</t>
        </is>
      </c>
      <c r="K80" s="2" t="str">
        <f>HYPERLINK("https://www.youtube.com/watch?v=AOpm_lVjgmk","https://www.youtube.com/watch?v=AOpm_lVjgmk")</f>
        <v>https://www.youtube.com/watch?v=AOpm_lVjgmk</v>
      </c>
      <c r="L80" t="inlineStr">
        <is>
          <t xml:space="preserve">Whats up friends?! In this weeks video I am showing you how My Fiancee is using Flow to help automate some common tasks for ...</t>
        </is>
      </c>
      <c r="M80" t="inlineStr">
        <is>
          <t xml:space="preserve">power automate real world project</t>
        </is>
      </c>
    </row>
    <row r="81">
      <c r="A81" s="3">
        <v>80</v>
      </c>
      <c r="B81" t="inlineStr">
        <is>
          <t xml:space="preserve">Video</t>
        </is>
      </c>
      <c r="C81" t="inlineStr">
        <is>
          <t xml:space="preserve">English</t>
        </is>
      </c>
      <c r="D81" t="inlineStr">
        <is>
          <t xml:space="preserve">Project / Use case</t>
        </is>
      </c>
      <c r="E81" t="inlineStr">
        <is>
          <t xml:space="preserve">Email/Outlook, AI/Copilot</t>
        </is>
      </c>
      <c r="F81" t="inlineStr">
        <is>
          <t xml:space="preserve">Automatically Categorize Outlook Emails with AI Builder &amp; Power Automate (Complete Tutorial)</t>
        </is>
      </c>
      <c r="G81" t="inlineStr">
        <is>
          <t xml:space="preserve">Technologiate</t>
        </is>
      </c>
      <c r="H81" s="3">
        <v>16137</v>
      </c>
      <c r="I81" t="inlineStr">
        <is>
          <t xml:space="preserve">1y ago</t>
        </is>
      </c>
      <c r="J81" t="inlineStr">
        <is>
          <t xml:space="preserve">10:25</t>
        </is>
      </c>
      <c r="K81" s="2" t="str">
        <f>HYPERLINK("https://www.youtube.com/watch?v=9X5P7tgwTA8","https://www.youtube.com/watch?v=9X5P7tgwTA8")</f>
        <v>https://www.youtube.com/watch?v=9X5P7tgwTA8</v>
      </c>
      <c r="L81" t="inlineStr">
        <is>
          <t xml:space="preserve">This step-by-step tutorial shows you how to build an intelligent AI system that automatically categorizes every email you receive ...</t>
        </is>
      </c>
      <c r="M81" t="inlineStr">
        <is>
          <t xml:space="preserve">power automate email automation outlook</t>
        </is>
      </c>
    </row>
    <row r="82">
      <c r="A82" s="3">
        <v>81</v>
      </c>
      <c r="B82" t="inlineStr">
        <is>
          <t xml:space="preserve">Video</t>
        </is>
      </c>
      <c r="C82" t="inlineStr">
        <is>
          <t xml:space="preserve">English</t>
        </is>
      </c>
      <c r="D82" t="inlineStr">
        <is>
          <t xml:space="preserve">Project / Use case</t>
        </is>
      </c>
      <c r="E82" t="inlineStr">
        <is>
          <t xml:space="preserve">SharePoint, Power Apps</t>
        </is>
      </c>
      <c r="F82" t="inlineStr">
        <is>
          <t xml:space="preserve">I Built a Document Generation System with Power Apps + Power Automate</t>
        </is>
      </c>
      <c r="G82" t="inlineStr">
        <is>
          <t xml:space="preserve">Michael Alex</t>
        </is>
      </c>
      <c r="H82" s="3">
        <v>10374</v>
      </c>
      <c r="I82" t="inlineStr">
        <is>
          <t xml:space="preserve">2w ago</t>
        </is>
      </c>
      <c r="J82" t="inlineStr">
        <is>
          <t xml:space="preserve">29:47</t>
        </is>
      </c>
      <c r="K82" s="2" t="str">
        <f>HYPERLINK("https://www.youtube.com/watch?v=jOWoxvKrtPY","https://www.youtube.com/watch?v=jOWoxvKrtPY")</f>
        <v>https://www.youtube.com/watch?v=jOWoxvKrtPY</v>
      </c>
      <c r="L82" t="inlineStr">
        <is>
          <t xml:space="preserve">In this video, I build a complete Document Generation System using Power Apps, Power Automate, SharePoint, and Microsoft ...</t>
        </is>
      </c>
      <c r="M82" t="inlineStr">
        <is>
          <t xml:space="preserve">power apps power automate project</t>
        </is>
      </c>
    </row>
    <row r="83">
      <c r="A83" s="3">
        <v>82</v>
      </c>
      <c r="B83" t="inlineStr">
        <is>
          <t xml:space="preserve">Video</t>
        </is>
      </c>
      <c r="C83" t="inlineStr">
        <is>
          <t xml:space="preserve">English</t>
        </is>
      </c>
      <c r="D83" t="inlineStr">
        <is>
          <t xml:space="preserve">Project / Use case</t>
        </is>
      </c>
      <c r="E83" t="inlineStr">
        <is>
          <t xml:space="preserve">SharePoint</t>
        </is>
      </c>
      <c r="F83" t="inlineStr">
        <is>
          <t xml:space="preserve">Transform Your Workflow: Build a Clocking-In System with SharePoint and Power Automate!</t>
        </is>
      </c>
      <c r="G83" t="inlineStr">
        <is>
          <t xml:space="preserve">SharePoint Dougie</t>
        </is>
      </c>
      <c r="H83" s="3">
        <v>8367</v>
      </c>
      <c r="I83" t="inlineStr">
        <is>
          <t xml:space="preserve">3y ago</t>
        </is>
      </c>
      <c r="J83" t="inlineStr">
        <is>
          <t xml:space="preserve">17:43</t>
        </is>
      </c>
      <c r="K83" s="2" t="str">
        <f>HYPERLINK("https://www.youtube.com/watch?v=UTq-AXw4ZBE","https://www.youtube.com/watch?v=UTq-AXw4ZBE")</f>
        <v>https://www.youtube.com/watch?v=UTq-AXw4ZBE</v>
      </c>
      <c r="L83" t="inlineStr">
        <is>
          <t xml:space="preserve">How to build a Clocking in System with SharePoint and Power Automate Need a SharePoint consult? Contact me: ...</t>
        </is>
      </c>
      <c r="M83" t="inlineStr">
        <is>
          <t xml:space="preserve">power automate sharepoint automation</t>
        </is>
      </c>
    </row>
    <row r="84">
      <c r="A84" s="3">
        <v>83</v>
      </c>
      <c r="B84" t="inlineStr">
        <is>
          <t xml:space="preserve">Video</t>
        </is>
      </c>
      <c r="C84" t="inlineStr">
        <is>
          <t xml:space="preserve">English</t>
        </is>
      </c>
      <c r="D84" t="inlineStr">
        <is>
          <t xml:space="preserve">Project / Use case</t>
        </is>
      </c>
      <c r="E84" t="inlineStr">
        <is>
          <t xml:space="preserve">Power Apps</t>
        </is>
      </c>
      <c r="F84" t="inlineStr">
        <is>
          <t xml:space="preserve">Create Task Management System in PowerApps | Power Platform Project</t>
        </is>
      </c>
      <c r="G84" t="inlineStr">
        <is>
          <t xml:space="preserve">KnowHow Academy</t>
        </is>
      </c>
      <c r="H84" s="3">
        <v>7660</v>
      </c>
      <c r="I84" t="inlineStr">
        <is>
          <t xml:space="preserve">1y ago</t>
        </is>
      </c>
      <c r="J84" t="inlineStr">
        <is>
          <t xml:space="preserve">13:30</t>
        </is>
      </c>
      <c r="K84" s="2" t="str">
        <f>HYPERLINK("https://www.youtube.com/watch?v=CsaiUin64qE","https://www.youtube.com/watch?v=CsaiUin64qE")</f>
        <v>https://www.youtube.com/watch?v=CsaiUin64qE</v>
      </c>
      <c r="L84" t="inlineStr">
        <is>
          <t xml:space="preserve">In this video, we'll walk you through a step-by-step process to create a powerful and user-friendly Task Management Application ...</t>
        </is>
      </c>
      <c r="M84" t="inlineStr">
        <is>
          <t xml:space="preserve">power apps power automate project</t>
        </is>
      </c>
    </row>
    <row r="85">
      <c r="A85" s="3">
        <v>84</v>
      </c>
      <c r="B85" t="inlineStr">
        <is>
          <t xml:space="preserve">Video</t>
        </is>
      </c>
      <c r="C85" t="inlineStr">
        <is>
          <t xml:space="preserve">English</t>
        </is>
      </c>
      <c r="D85" t="inlineStr">
        <is>
          <t xml:space="preserve">Project / Use case</t>
        </is>
      </c>
      <c r="E85" t="inlineStr">
        <is>
          <t xml:space="preserve">Email/Outlook, AI/Copilot</t>
        </is>
      </c>
      <c r="F85" t="inlineStr">
        <is>
          <t xml:space="preserve">Automatically Organize Outlook Emails into Folders | AI Builder &amp; Power Automate</t>
        </is>
      </c>
      <c r="G85" t="inlineStr">
        <is>
          <t xml:space="preserve">Technologiate</t>
        </is>
      </c>
      <c r="H85" s="3">
        <v>6906</v>
      </c>
      <c r="I85" t="inlineStr">
        <is>
          <t xml:space="preserve">1y ago</t>
        </is>
      </c>
      <c r="J85" t="inlineStr">
        <is>
          <t xml:space="preserve">10:39</t>
        </is>
      </c>
      <c r="K85" s="2" t="str">
        <f>HYPERLINK("https://www.youtube.com/watch?v=utlURXW4OUQ","https://www.youtube.com/watch?v=utlURXW4OUQ")</f>
        <v>https://www.youtube.com/watch?v=utlURXW4OUQ</v>
      </c>
      <c r="L85" t="inlineStr">
        <is>
          <t xml:space="preserve">This complete tutorial shows you how to build an automated system that organizes your Outlook emails into folders every night ...</t>
        </is>
      </c>
      <c r="M85" t="inlineStr">
        <is>
          <t xml:space="preserve">power automate email automation outlook</t>
        </is>
      </c>
    </row>
    <row r="86">
      <c r="A86" s="3">
        <v>85</v>
      </c>
      <c r="B86" t="inlineStr">
        <is>
          <t xml:space="preserve">Video</t>
        </is>
      </c>
      <c r="C86" t="inlineStr">
        <is>
          <t xml:space="preserve">English</t>
        </is>
      </c>
      <c r="D86" t="inlineStr">
        <is>
          <t xml:space="preserve">Project / Use case</t>
        </is>
      </c>
      <c r="E86" t="inlineStr">
        <is>
          <t xml:space="preserve">Desktop/RPA</t>
        </is>
      </c>
      <c r="F86" t="inlineStr">
        <is>
          <t xml:space="preserve">Power Automate Desktop Real Time Project | KT Sessions | Power Automate Desktop Tutorials</t>
        </is>
      </c>
      <c r="G86" t="inlineStr">
        <is>
          <t xml:space="preserve">KT Sessions</t>
        </is>
      </c>
      <c r="H86" s="3">
        <v>6244</v>
      </c>
      <c r="I86" t="inlineStr">
        <is>
          <t xml:space="preserve">1y ago</t>
        </is>
      </c>
      <c r="J86" t="inlineStr">
        <is>
          <t xml:space="preserve">22:15</t>
        </is>
      </c>
      <c r="K86" s="2" t="str">
        <f>HYPERLINK("https://www.youtube.com/watch?v=MbBXneZBx9A","https://www.youtube.com/watch?v=MbBXneZBx9A")</f>
        <v>https://www.youtube.com/watch?v=MbBXneZBx9A</v>
      </c>
      <c r="L86" t="inlineStr">
        <is>
          <t xml:space="preserve">Welcome to the final video in our Power Automate Desktop Beginner's series! In this ultimate tutorial, we'll build a complete ...</t>
        </is>
      </c>
      <c r="M86" t="inlineStr">
        <is>
          <t xml:space="preserve">power automate project ; power automate desktop project</t>
        </is>
      </c>
    </row>
    <row r="87">
      <c r="A87" s="3">
        <v>86</v>
      </c>
      <c r="B87" t="inlineStr">
        <is>
          <t xml:space="preserve">Video</t>
        </is>
      </c>
      <c r="C87" t="inlineStr">
        <is>
          <t xml:space="preserve">English</t>
        </is>
      </c>
      <c r="D87" t="inlineStr">
        <is>
          <t xml:space="preserve">Project / Use case</t>
        </is>
      </c>
      <c r="E87" t="inlineStr">
        <is>
          <t xml:space="preserve">Email/Outlook, AI/Copilot</t>
        </is>
      </c>
      <c r="F87" t="inlineStr">
        <is>
          <t xml:space="preserve">Auto Reply Outlook Emails with AI | Power Automate Email Assistant Saves 2+ Hours Daily</t>
        </is>
      </c>
      <c r="G87" t="inlineStr">
        <is>
          <t xml:space="preserve">Technologiate</t>
        </is>
      </c>
      <c r="H87" s="3">
        <v>5487</v>
      </c>
      <c r="I87" t="inlineStr">
        <is>
          <t xml:space="preserve">1y ago</t>
        </is>
      </c>
      <c r="J87" t="inlineStr">
        <is>
          <t xml:space="preserve">16:56</t>
        </is>
      </c>
      <c r="K87" s="2" t="str">
        <f>HYPERLINK("https://www.youtube.com/watch?v=AMmyHl_HDpo","https://www.youtube.com/watch?v=AMmyHl_HDpo")</f>
        <v>https://www.youtube.com/watch?v=AMmyHl_HDpo</v>
      </c>
      <c r="L87" t="inlineStr">
        <is>
          <t xml:space="preserve">This step-by-step tutorial shows you how to build an intelligent AI email assistant using Microsoft Power Automate and AI Builder ...</t>
        </is>
      </c>
      <c r="M87" t="inlineStr">
        <is>
          <t xml:space="preserve">power automate email automation outlook</t>
        </is>
      </c>
    </row>
    <row r="88">
      <c r="A88" s="3">
        <v>87</v>
      </c>
      <c r="B88" t="inlineStr">
        <is>
          <t xml:space="preserve">Video</t>
        </is>
      </c>
      <c r="C88" t="inlineStr">
        <is>
          <t xml:space="preserve">English</t>
        </is>
      </c>
      <c r="D88" t="inlineStr">
        <is>
          <t xml:space="preserve">Project / Use case</t>
        </is>
      </c>
      <c r="E88" t="inlineStr">
        <is>
          <t xml:space="preserve">Excel, Email/Outlook</t>
        </is>
      </c>
      <c r="F88" t="inlineStr">
        <is>
          <t xml:space="preserve">How to Auto-Send Follow-Up Emails in Outlook When No One Replies | Power Automate + Excel</t>
        </is>
      </c>
      <c r="G88" t="inlineStr">
        <is>
          <t xml:space="preserve">Technologiate</t>
        </is>
      </c>
      <c r="H88" s="3">
        <v>5070</v>
      </c>
      <c r="I88" t="inlineStr">
        <is>
          <t xml:space="preserve">6mo ago</t>
        </is>
      </c>
      <c r="J88" t="inlineStr">
        <is>
          <t xml:space="preserve">24:46</t>
        </is>
      </c>
      <c r="K88" s="2" t="str">
        <f>HYPERLINK("https://www.youtube.com/watch?v=W99k6X8WbdE","https://www.youtube.com/watch?v=W99k6X8WbdE")</f>
        <v>https://www.youtube.com/watch?v=W99k6X8WbdE</v>
      </c>
      <c r="L88" t="inlineStr">
        <is>
          <t xml:space="preserve">In this tutorial, I build a complete automated follow-up email system using Power Automate, Excel, and Outlook. The flow runs ...</t>
        </is>
      </c>
      <c r="M88" t="inlineStr">
        <is>
          <t xml:space="preserve">power automate email automation outlook</t>
        </is>
      </c>
    </row>
    <row r="89">
      <c r="A89" s="3">
        <v>88</v>
      </c>
      <c r="B89" t="inlineStr">
        <is>
          <t xml:space="preserve">Video</t>
        </is>
      </c>
      <c r="C89" t="inlineStr">
        <is>
          <t xml:space="preserve">English</t>
        </is>
      </c>
      <c r="D89" t="inlineStr">
        <is>
          <t xml:space="preserve">Project / Use case</t>
        </is>
      </c>
      <c r="E89" t="inlineStr">
        <is>
          <t xml:space="preserve">AI/Copilot</t>
        </is>
      </c>
      <c r="F89" t="inlineStr">
        <is>
          <t xml:space="preserve">Microsoft Power Automate | FULL COURSE for Beginners [2026]</t>
        </is>
      </c>
      <c r="G89" t="inlineStr">
        <is>
          <t xml:space="preserve">Powercademy</t>
        </is>
      </c>
      <c r="H89" s="3">
        <v>5014</v>
      </c>
      <c r="I89" t="inlineStr">
        <is>
          <t xml:space="preserve">3d ago</t>
        </is>
      </c>
      <c r="J89" t="inlineStr">
        <is>
          <t xml:space="preserve">1:49:27</t>
        </is>
      </c>
      <c r="K89" s="2" t="str">
        <f>HYPERLINK("https://www.youtube.com/watch?v=TEYTbsZCrzE","https://www.youtube.com/watch?v=TEYTbsZCrzE")</f>
        <v>https://www.youtube.com/watch?v=TEYTbsZCrzE</v>
      </c>
      <c r="L89" t="inlineStr">
        <is>
          <t xml:space="preserve">WANT SUPPORT ON YOUR POWER PLATFORM / MICROSOFT AI PROJECTS? Book a call with Howdang here: ...</t>
        </is>
      </c>
      <c r="M89" t="inlineStr">
        <is>
          <t xml:space="preserve">power automate full course ; power automate tutorial for beginners ; power automate advanced tutorial ; পাওয়ার অটোমেট</t>
        </is>
      </c>
    </row>
    <row r="90">
      <c r="A90" s="3">
        <v>89</v>
      </c>
      <c r="B90" t="inlineStr">
        <is>
          <t xml:space="preserve">Video</t>
        </is>
      </c>
      <c r="C90" t="inlineStr">
        <is>
          <t xml:space="preserve">English</t>
        </is>
      </c>
      <c r="D90" t="inlineStr">
        <is>
          <t xml:space="preserve">Project / Use case</t>
        </is>
      </c>
      <c r="E90" t="inlineStr">
        <is>
          <t xml:space="preserve"/>
        </is>
      </c>
      <c r="F90" t="inlineStr">
        <is>
          <t xml:space="preserve">Power Automate for Advanced Users: End-to-End Real-Life Case</t>
        </is>
      </c>
      <c r="G90" t="inlineStr">
        <is>
          <t xml:space="preserve">Anders Jensen</t>
        </is>
      </c>
      <c r="H90" s="3">
        <v>4383</v>
      </c>
      <c r="I90" t="inlineStr">
        <is>
          <t xml:space="preserve">7mo ago</t>
        </is>
      </c>
      <c r="J90" t="inlineStr">
        <is>
          <t xml:space="preserve">40:50</t>
        </is>
      </c>
      <c r="K90" s="2" t="str">
        <f>HYPERLINK("https://www.youtube.com/watch?v=9w-e4PrhxYE","https://www.youtube.com/watch?v=9w-e4PrhxYE")</f>
        <v>https://www.youtube.com/watch?v=9w-e4PrhxYE</v>
      </c>
      <c r="L90" t="inlineStr">
        <is>
          <t xml:space="preserve">This video shows how to build an advanced end-to-end solution with Power Automate using real-world patterns. You will see how ...</t>
        </is>
      </c>
      <c r="M90" t="inlineStr">
        <is>
          <t xml:space="preserve">power automate real world project ; power automate advanced tutorial</t>
        </is>
      </c>
    </row>
    <row r="91">
      <c r="A91" s="3">
        <v>90</v>
      </c>
      <c r="B91" t="inlineStr">
        <is>
          <t xml:space="preserve">Video</t>
        </is>
      </c>
      <c r="C91" t="inlineStr">
        <is>
          <t xml:space="preserve">English</t>
        </is>
      </c>
      <c r="D91" t="inlineStr">
        <is>
          <t xml:space="preserve">Project / Use case</t>
        </is>
      </c>
      <c r="E91" t="inlineStr">
        <is>
          <t xml:space="preserve">Desktop/RPA</t>
        </is>
      </c>
      <c r="F91" t="inlineStr">
        <is>
          <t xml:space="preserve">Microsoft Power Automate Desktop Tutorial | Power Automate Desktop Project for Practice</t>
        </is>
      </c>
      <c r="G91" t="inlineStr">
        <is>
          <t xml:space="preserve">EasyWay2Learn</t>
        </is>
      </c>
      <c r="H91" s="3">
        <v>2838</v>
      </c>
      <c r="I91" t="inlineStr">
        <is>
          <t xml:space="preserve">3y ago</t>
        </is>
      </c>
      <c r="J91" t="inlineStr">
        <is>
          <t xml:space="preserve">24:20</t>
        </is>
      </c>
      <c r="K91" s="2" t="str">
        <f>HYPERLINK("https://www.youtube.com/watch?v=a1sxlk6ru2c","https://www.youtube.com/watch?v=a1sxlk6ru2c")</f>
        <v>https://www.youtube.com/watch?v=a1sxlk6ru2c</v>
      </c>
      <c r="L91" t="inlineStr">
        <is>
          <t xml:space="preserve">Welcome to @easyways2learn In this comprehensive Microsoft Power Automate Desktop tutorial, we are diving deep into ...</t>
        </is>
      </c>
      <c r="M91" t="inlineStr">
        <is>
          <t xml:space="preserve">power automate desktop project</t>
        </is>
      </c>
    </row>
    <row r="92">
      <c r="A92" s="3">
        <v>91</v>
      </c>
      <c r="B92" t="inlineStr">
        <is>
          <t xml:space="preserve">Video</t>
        </is>
      </c>
      <c r="C92" t="inlineStr">
        <is>
          <t xml:space="preserve">English</t>
        </is>
      </c>
      <c r="D92" t="inlineStr">
        <is>
          <t xml:space="preserve">Project / Use case</t>
        </is>
      </c>
      <c r="E92" t="inlineStr">
        <is>
          <t xml:space="preserve">Approvals</t>
        </is>
      </c>
      <c r="F92" t="inlineStr">
        <is>
          <t xml:space="preserve">Power Automate Mock Interview: Flows, Approvals &amp; Real Project Examples</t>
        </is>
      </c>
      <c r="G92" t="inlineStr">
        <is>
          <t xml:space="preserve">KSR Datavizon </t>
        </is>
      </c>
      <c r="H92" s="3">
        <v>2386</v>
      </c>
      <c r="I92" t="inlineStr">
        <is>
          <t xml:space="preserve">5mo ago</t>
        </is>
      </c>
      <c r="J92" t="inlineStr">
        <is>
          <t xml:space="preserve">27:27</t>
        </is>
      </c>
      <c r="K92" s="2" t="str">
        <f>HYPERLINK("https://www.youtube.com/watch?v=ZSXDdUNYCNA","https://www.youtube.com/watch?v=ZSXDdUNYCNA")</f>
        <v>https://www.youtube.com/watch?v=ZSXDdUNYCNA</v>
      </c>
      <c r="L92" t="inlineStr">
        <is>
          <t xml:space="preserve">Are you preparing for a Power Platform developer interview or looking to sharpen your technical knowledge of the Microsoft ...</t>
        </is>
      </c>
      <c r="M92" t="inlineStr">
        <is>
          <t xml:space="preserve">power automate interview questions</t>
        </is>
      </c>
    </row>
    <row r="93">
      <c r="A93" s="3">
        <v>92</v>
      </c>
      <c r="B93" t="inlineStr">
        <is>
          <t xml:space="preserve">Video</t>
        </is>
      </c>
      <c r="C93" t="inlineStr">
        <is>
          <t xml:space="preserve">English</t>
        </is>
      </c>
      <c r="D93" t="inlineStr">
        <is>
          <t xml:space="preserve">Project / Use case</t>
        </is>
      </c>
      <c r="E93" t="inlineStr">
        <is>
          <t xml:space="preserve">Desktop/RPA, Excel, Web automation</t>
        </is>
      </c>
      <c r="F93" t="inlineStr">
        <is>
          <t xml:space="preserve">Power Automate Desktop || Project #4 : NSE - Creating folder to save data in excel - Part 9</t>
        </is>
      </c>
      <c r="G93" t="inlineStr">
        <is>
          <t xml:space="preserve">Learn RPA &amp; AI Technologies every day</t>
        </is>
      </c>
      <c r="H93" s="3">
        <v>1626</v>
      </c>
      <c r="I93" t="inlineStr">
        <is>
          <t xml:space="preserve">3y ago</t>
        </is>
      </c>
      <c r="J93" t="inlineStr">
        <is>
          <t xml:space="preserve">8:37</t>
        </is>
      </c>
      <c r="K93" s="2" t="str">
        <f>HYPERLINK("https://www.youtube.com/watch?v=O9kSdlEJKW0","https://www.youtube.com/watch?v=O9kSdlEJKW0")</f>
        <v>https://www.youtube.com/watch?v=O9kSdlEJKW0</v>
      </c>
      <c r="L93" t="inlineStr">
        <is>
          <t xml:space="preserve">Don't forget to SUBSCRIBE and hit the bell icon to get notified of new RPA videos.. Thank you! #webautomation ...</t>
        </is>
      </c>
      <c r="M93" t="inlineStr">
        <is>
          <t xml:space="preserve">power automate desktop project</t>
        </is>
      </c>
    </row>
    <row r="94">
      <c r="A94" s="3">
        <v>93</v>
      </c>
      <c r="B94" t="inlineStr">
        <is>
          <t xml:space="preserve">Video</t>
        </is>
      </c>
      <c r="C94" t="inlineStr">
        <is>
          <t xml:space="preserve">English</t>
        </is>
      </c>
      <c r="D94" t="inlineStr">
        <is>
          <t xml:space="preserve">Project / Use case</t>
        </is>
      </c>
      <c r="E94" t="inlineStr">
        <is>
          <t xml:space="preserve">Desktop/RPA, AI/Copilot</t>
        </is>
      </c>
      <c r="F94" t="inlineStr">
        <is>
          <t xml:space="preserve">Develop End-to-End Automation Using Power Automate Desktop | AI Copilot Series - Use case 3</t>
        </is>
      </c>
      <c r="G94" t="inlineStr">
        <is>
          <t xml:space="preserve">Deenuji Loganathan</t>
        </is>
      </c>
      <c r="H94" s="3">
        <v>992</v>
      </c>
      <c r="I94" t="inlineStr">
        <is>
          <t xml:space="preserve">1y ago</t>
        </is>
      </c>
      <c r="J94" t="inlineStr">
        <is>
          <t xml:space="preserve">36:58</t>
        </is>
      </c>
      <c r="K94" s="2" t="str">
        <f>HYPERLINK("https://www.youtube.com/watch?v=CcoLXF7Qi5A","https://www.youtube.com/watch?v=CcoLXF7Qi5A")</f>
        <v>https://www.youtube.com/watch?v=CcoLXF7Qi5A</v>
      </c>
      <c r="L94" t="inlineStr">
        <is>
          <t xml:space="preserve">In this video, we walk through a fully automated bank reconciliation process using Power Automate Desktop and the intelligence ...</t>
        </is>
      </c>
      <c r="M94" t="inlineStr">
        <is>
          <t xml:space="preserve">power automate desktop project</t>
        </is>
      </c>
    </row>
    <row r="95">
      <c r="A95" s="3">
        <v>94</v>
      </c>
      <c r="B95" t="inlineStr">
        <is>
          <t xml:space="preserve">Video</t>
        </is>
      </c>
      <c r="C95" t="inlineStr">
        <is>
          <t xml:space="preserve">English</t>
        </is>
      </c>
      <c r="D95" t="inlineStr">
        <is>
          <t xml:space="preserve">Project / Use case</t>
        </is>
      </c>
      <c r="E95" t="inlineStr">
        <is>
          <t xml:space="preserve">Approvals</t>
        </is>
      </c>
      <c r="F95" t="inlineStr">
        <is>
          <t xml:space="preserve">Power Automate Approvals Complete Course | Build a Real-World Approval Workflow (2026)</t>
        </is>
      </c>
      <c r="G95" t="inlineStr">
        <is>
          <t xml:space="preserve">CoyLix</t>
        </is>
      </c>
      <c r="H95" s="3">
        <v>873</v>
      </c>
      <c r="I95" t="inlineStr">
        <is>
          <t xml:space="preserve">2mo ago</t>
        </is>
      </c>
      <c r="J95" t="inlineStr">
        <is>
          <t xml:space="preserve">52:30</t>
        </is>
      </c>
      <c r="K95" s="2" t="str">
        <f>HYPERLINK("https://www.youtube.com/watch?v=K85VD6Yw11M","https://www.youtube.com/watch?v=K85VD6Yw11M")</f>
        <v>https://www.youtube.com/watch?v=K85VD6Yw11M</v>
      </c>
      <c r="L95" t="inlineStr">
        <is>
          <t xml:space="preserve">Crack Your Next Power Platform Interview ...</t>
        </is>
      </c>
      <c r="M95" t="inlineStr">
        <is>
          <t xml:space="preserve">power automate approval workflow</t>
        </is>
      </c>
    </row>
    <row r="96">
      <c r="A96" s="3">
        <v>95</v>
      </c>
      <c r="B96" t="inlineStr">
        <is>
          <t xml:space="preserve">Video</t>
        </is>
      </c>
      <c r="C96" t="inlineStr">
        <is>
          <t xml:space="preserve">English</t>
        </is>
      </c>
      <c r="D96" t="inlineStr">
        <is>
          <t xml:space="preserve">Project / Use case</t>
        </is>
      </c>
      <c r="E96" t="inlineStr">
        <is>
          <t xml:space="preserve">Cloud flows</t>
        </is>
      </c>
      <c r="F96" t="inlineStr">
        <is>
          <t xml:space="preserve">Power Automate Do Until: Build a Real-World Flow (Part 2/2)</t>
        </is>
      </c>
      <c r="G96" t="inlineStr">
        <is>
          <t xml:space="preserve">Alireza Aliabadi</t>
        </is>
      </c>
      <c r="H96" s="3">
        <v>439</v>
      </c>
      <c r="I96" t="inlineStr">
        <is>
          <t xml:space="preserve">1mo ago</t>
        </is>
      </c>
      <c r="J96" t="inlineStr">
        <is>
          <t xml:space="preserve">19:24</t>
        </is>
      </c>
      <c r="K96" s="2" t="str">
        <f>HYPERLINK("https://www.youtube.com/watch?v=bODxDeddwlc","https://www.youtube.com/watch?v=bODxDeddwlc")</f>
        <v>https://www.youtube.com/watch?v=bODxDeddwlc</v>
      </c>
      <c r="L96" t="inlineStr">
        <is>
          <t xml:space="preserve">In Part 2 of our Power Automate Do Until series, the training wheels are officially off. We build a realistic automated cloud flow ...</t>
        </is>
      </c>
      <c r="M96" t="inlineStr">
        <is>
          <t xml:space="preserve">power automate real world project</t>
        </is>
      </c>
    </row>
    <row r="97">
      <c r="A97" s="3">
        <v>96</v>
      </c>
      <c r="B97" t="inlineStr">
        <is>
          <t xml:space="preserve">Video</t>
        </is>
      </c>
      <c r="C97" t="inlineStr">
        <is>
          <t xml:space="preserve">English</t>
        </is>
      </c>
      <c r="D97" t="inlineStr">
        <is>
          <t xml:space="preserve">Project / Use case</t>
        </is>
      </c>
      <c r="E97" t="inlineStr">
        <is>
          <t xml:space="preserve">Approvals</t>
        </is>
      </c>
      <c r="F97" t="inlineStr">
        <is>
          <t xml:space="preserve">How to Create an Approval Flow in Power Automate, Build Approval Workflow Process Easily 2026</t>
        </is>
      </c>
      <c r="G97" t="inlineStr">
        <is>
          <t xml:space="preserve">PMN Online</t>
        </is>
      </c>
      <c r="H97" s="3">
        <v>389</v>
      </c>
      <c r="I97" t="inlineStr">
        <is>
          <t xml:space="preserve">2mo ago</t>
        </is>
      </c>
      <c r="J97" t="inlineStr">
        <is>
          <t xml:space="preserve">8:18</t>
        </is>
      </c>
      <c r="K97" s="2" t="str">
        <f>HYPERLINK("https://www.youtube.com/watch?v=t1q-f6cRls0","https://www.youtube.com/watch?v=t1q-f6cRls0")</f>
        <v>https://www.youtube.com/watch?v=t1q-f6cRls0</v>
      </c>
      <c r="L97" t="inlineStr">
        <is>
          <t xml:space="preserve">In this video I have shown How to Create an Approval Flow in Power Automate, Build Approval Workflow Process Easily 2026.</t>
        </is>
      </c>
      <c r="M97" t="inlineStr">
        <is>
          <t xml:space="preserve">power automate approval workflow</t>
        </is>
      </c>
    </row>
    <row r="98">
      <c r="A98" s="3">
        <v>97</v>
      </c>
      <c r="B98" t="inlineStr">
        <is>
          <t xml:space="preserve">Playlist</t>
        </is>
      </c>
      <c r="C98" t="inlineStr">
        <is>
          <t xml:space="preserve">English</t>
        </is>
      </c>
      <c r="D98" t="inlineStr">
        <is>
          <t xml:space="preserve">Project / Use case</t>
        </is>
      </c>
      <c r="E98" t="inlineStr">
        <is>
          <t xml:space="preserve">Cloud flows</t>
        </is>
      </c>
      <c r="F98" t="inlineStr">
        <is>
          <t xml:space="preserve">Power Automate Cloud Flow Project</t>
        </is>
      </c>
      <c r="G98" t="inlineStr">
        <is>
          <t xml:space="preserve">Last Minute Coders</t>
        </is>
      </c>
      <c r="H98" t="inlineStr">
        <is>
          <t xml:space="preserve"/>
        </is>
      </c>
      <c r="I98" t="inlineStr">
        <is>
          <t xml:space="preserve"/>
        </is>
      </c>
      <c r="J98" t="inlineStr">
        <is>
          <t xml:space="preserve">7 videos</t>
        </is>
      </c>
      <c r="K98" s="2" t="str">
        <f>HYPERLINK("https://www.youtube.com/playlist?list=PLy6eszntaztPTlkEVss3fPSPd0mpJ72pV","https://www.youtube.com/playlist?list=PLy6eszntaztPTlkEVss3fPSPd0mpJ72pV")</f>
        <v>https://www.youtube.com/playlist?list=PLy6eszntaztPTlkEVss3fPSPd0mpJ72pV</v>
      </c>
      <c r="L98" t="inlineStr">
        <is>
          <t xml:space="preserve">Playlist | View full playlist</t>
        </is>
      </c>
      <c r="M98" t="inlineStr">
        <is>
          <t xml:space="preserve">power automate full course ; power automate project ; power automate real world project ; power automate cloud flow tutorial ; power apps power automate project ; power automate course ; power automate project hindi</t>
        </is>
      </c>
    </row>
    <row r="99">
      <c r="A99" s="3">
        <v>98</v>
      </c>
      <c r="B99" t="inlineStr">
        <is>
          <t xml:space="preserve">Playlist</t>
        </is>
      </c>
      <c r="C99" t="inlineStr">
        <is>
          <t xml:space="preserve">English</t>
        </is>
      </c>
      <c r="D99" t="inlineStr">
        <is>
          <t xml:space="preserve">Project / Use case</t>
        </is>
      </c>
      <c r="E99" t="inlineStr">
        <is>
          <t xml:space="preserve">Approvals, Power Apps</t>
        </is>
      </c>
      <c r="F99" t="inlineStr">
        <is>
          <t xml:space="preserve">Power Automate (flows)</t>
        </is>
      </c>
      <c r="G99" t="inlineStr">
        <is>
          <t xml:space="preserve">Reza Dorrani</t>
        </is>
      </c>
      <c r="H99" t="inlineStr">
        <is>
          <t xml:space="preserve"/>
        </is>
      </c>
      <c r="I99" t="inlineStr">
        <is>
          <t xml:space="preserve"/>
        </is>
      </c>
      <c r="J99" t="inlineStr">
        <is>
          <t xml:space="preserve">110 videos</t>
        </is>
      </c>
      <c r="K99" s="2" t="str">
        <f>HYPERLINK("https://www.youtube.com/playlist?list=PLTyFh-qDKAiEs0rhQuR7fwSv5_63FHr_0","https://www.youtube.com/playlist?list=PLTyFh-qDKAiEs0rhQuR7fwSv5_63FHr_0")</f>
        <v>https://www.youtube.com/playlist?list=PLTyFh-qDKAiEs0rhQuR7fwSv5_63FHr_0</v>
      </c>
      <c r="L99" t="inlineStr">
        <is>
          <t xml:space="preserve">Playlist | Power Apps Approval Request Screen + Multi-Step Approval Workflow 🚀 · 26:13 | Build a Power App + Power Automate Approval Flow in 15 Minutes with MCP · 18:44 | View full playlist | Welcome to the world of "Power Automate"! This playlist is your go-to resource for mastering the art of aut</t>
        </is>
      </c>
      <c r="M99" t="inlineStr">
        <is>
          <t xml:space="preserve">power automate full course ; power automate project ; power automate real world project ; power automate cloud flow tutorial ; power automate advanced tutorial ; power apps power automate project ; power automate course ; power automate tutorial playlist</t>
        </is>
      </c>
    </row>
    <row r="100">
      <c r="A100" s="3">
        <v>99</v>
      </c>
      <c r="B100" t="inlineStr">
        <is>
          <t xml:space="preserve">Playlist</t>
        </is>
      </c>
      <c r="C100" t="inlineStr">
        <is>
          <t xml:space="preserve">English</t>
        </is>
      </c>
      <c r="D100" t="inlineStr">
        <is>
          <t xml:space="preserve">Project / Use case</t>
        </is>
      </c>
      <c r="E100" t="inlineStr">
        <is>
          <t xml:space="preserve">Desktop/RPA, Web automation</t>
        </is>
      </c>
      <c r="F100" t="inlineStr">
        <is>
          <t xml:space="preserve">Power Automate Desktop : Projects</t>
        </is>
      </c>
      <c r="G100" t="inlineStr">
        <is>
          <t xml:space="preserve">Learn RPA &amp; AI Technologies every day</t>
        </is>
      </c>
      <c r="H100" t="inlineStr">
        <is>
          <t xml:space="preserve"/>
        </is>
      </c>
      <c r="I100" t="inlineStr">
        <is>
          <t xml:space="preserve"/>
        </is>
      </c>
      <c r="J100" t="inlineStr">
        <is>
          <t xml:space="preserve">43 videos</t>
        </is>
      </c>
      <c r="K100" s="2" t="str">
        <f>HYPERLINK("https://www.youtube.com/playlist?list=PLZVSOFwGx4zDtjaiP_7LG42AjrcoKFvWs","https://www.youtube.com/playlist?list=PLZVSOFwGx4zDtjaiP_7LG42AjrcoKFvWs")</f>
        <v>https://www.youtube.com/playlist?list=PLZVSOFwGx4zDtjaiP_7LG42AjrcoKFvWs</v>
      </c>
      <c r="L100" t="inlineStr">
        <is>
          <t xml:space="preserve">Playlist | Power Automate Desktop || Project #1 : HR Usecase - Employee Onboarding Process - Part 1 · 12:37 | Power Automate Desktop || Project #1 - Employee Onboarding Process - Web Automation - Part 2 · 12:02 | View full playlist</t>
        </is>
      </c>
      <c r="M100" t="inlineStr">
        <is>
          <t xml:space="preserve">power automate project ; power automate real world project ; power automate desktop full course ; power automate desktop project</t>
        </is>
      </c>
    </row>
    <row r="101">
      <c r="A101" s="3">
        <v>100</v>
      </c>
      <c r="B101" t="inlineStr">
        <is>
          <t xml:space="preserve">Playlist</t>
        </is>
      </c>
      <c r="C101" t="inlineStr">
        <is>
          <t xml:space="preserve">English</t>
        </is>
      </c>
      <c r="D101" t="inlineStr">
        <is>
          <t xml:space="preserve">Project / Use case</t>
        </is>
      </c>
      <c r="E101" t="inlineStr">
        <is>
          <t xml:space="preserve">Desktop/RPA, Excel, AI/Copilot, PDF, Web automation</t>
        </is>
      </c>
      <c r="F101" t="inlineStr">
        <is>
          <t xml:space="preserve">Power Automate Desktop Use Cases</t>
        </is>
      </c>
      <c r="G101" t="inlineStr">
        <is>
          <t xml:space="preserve">Anders Jensen</t>
        </is>
      </c>
      <c r="H101" t="inlineStr">
        <is>
          <t xml:space="preserve"/>
        </is>
      </c>
      <c r="I101" t="inlineStr">
        <is>
          <t xml:space="preserve"/>
        </is>
      </c>
      <c r="J101" t="inlineStr">
        <is>
          <t xml:space="preserve">9 videos</t>
        </is>
      </c>
      <c r="K101" s="2" t="str">
        <f>HYPERLINK("https://www.youtube.com/playlist?list=PLXXz88_TPiHqbQENjPjBkO3DSro06cAcb","https://www.youtube.com/playlist?list=PLXXz88_TPiHqbQENjPjBkO3DSro06cAcb")</f>
        <v>https://www.youtube.com/playlist?list=PLXXz88_TPiHqbQENjPjBkO3DSro06cAcb</v>
      </c>
      <c r="L101" t="inlineStr">
        <is>
          <t xml:space="preserve">Playlist | Updated today | Advanced Excel in Microsoft Power Automate Desktop - Use Case for Accountants · 1:00:52 | Save Web Data to Excel - Power Automate Desktop Advanced Use Case · 2:09:56 | View full playlist | Power Automate Desktop use cases: Advanced Excel for accountants, web data to Excel,</t>
        </is>
      </c>
      <c r="M101" t="inlineStr">
        <is>
          <t xml:space="preserve">power automate project ; power automate real world project ; power automate desktop project ; power automate advanced tutorial</t>
        </is>
      </c>
    </row>
    <row r="102">
      <c r="A102" s="3">
        <v>101</v>
      </c>
      <c r="B102" t="inlineStr">
        <is>
          <t xml:space="preserve">Playlist</t>
        </is>
      </c>
      <c r="C102" t="inlineStr">
        <is>
          <t xml:space="preserve">English</t>
        </is>
      </c>
      <c r="D102" t="inlineStr">
        <is>
          <t xml:space="preserve">Project / Use case</t>
        </is>
      </c>
      <c r="E102" t="inlineStr">
        <is>
          <t xml:space="preserve">Cloud flows, SharePoint, Email/Outlook, Teams, Forms</t>
        </is>
      </c>
      <c r="F102" t="inlineStr">
        <is>
          <t xml:space="preserve">Power Automate - Practical Use Cases</t>
        </is>
      </c>
      <c r="G102" t="inlineStr">
        <is>
          <t xml:space="preserve">Automate M365</t>
        </is>
      </c>
      <c r="H102" t="inlineStr">
        <is>
          <t xml:space="preserve"/>
        </is>
      </c>
      <c r="I102" t="inlineStr">
        <is>
          <t xml:space="preserve"/>
        </is>
      </c>
      <c r="J102" t="inlineStr">
        <is>
          <t xml:space="preserve">59 videos</t>
        </is>
      </c>
      <c r="K102" s="2" t="str">
        <f>HYPERLINK("https://www.youtube.com/playlist?list=PLiVyYzha0uI-uisfup29uphlDQmj1TvM6","https://www.youtube.com/playlist?list=PLiVyYzha0uI-uisfup29uphlDQmj1TvM6")</f>
        <v>https://www.youtube.com/playlist?list=PLiVyYzha0uI-uisfup29uphlDQmj1TvM6</v>
      </c>
      <c r="L102" t="inlineStr">
        <is>
          <t xml:space="preserve">Playlist | Updated 5 days ago | Send Emails to the Right Person from a SharePoint List | Power Automate Tutorial · 2:39 | How to Send SharePoint List Attachments via Outlook | Power Automate Tutorial · 4:43 | View full playlist | Discover practical Power Automate use cases to streamline your daily w</t>
        </is>
      </c>
      <c r="M102" t="inlineStr">
        <is>
          <t xml:space="preserve">power automate real world project ; power automate project</t>
        </is>
      </c>
    </row>
    <row r="103">
      <c r="A103" s="3">
        <v>102</v>
      </c>
      <c r="B103" t="inlineStr">
        <is>
          <t xml:space="preserve">Playlist</t>
        </is>
      </c>
      <c r="C103" t="inlineStr">
        <is>
          <t xml:space="preserve">English</t>
        </is>
      </c>
      <c r="D103" t="inlineStr">
        <is>
          <t xml:space="preserve">Project / Use case</t>
        </is>
      </c>
      <c r="E103" t="inlineStr">
        <is>
          <t xml:space="preserve">Desktop/RPA, Web automation</t>
        </is>
      </c>
      <c r="F103" t="inlineStr">
        <is>
          <t xml:space="preserve">Power Automate Desktop Tutorials: Streamline Your Workflow</t>
        </is>
      </c>
      <c r="G103" t="inlineStr">
        <is>
          <t xml:space="preserve">RPA Champion</t>
        </is>
      </c>
      <c r="H103" t="inlineStr">
        <is>
          <t xml:space="preserve"/>
        </is>
      </c>
      <c r="I103" t="inlineStr">
        <is>
          <t xml:space="preserve"/>
        </is>
      </c>
      <c r="J103" t="inlineStr">
        <is>
          <t xml:space="preserve">121 videos</t>
        </is>
      </c>
      <c r="K103" s="2" t="str">
        <f>HYPERLINK("https://www.youtube.com/playlist?list=PLrMkPhRNv7f10GarG4QwcAAwQQNMato1j","https://www.youtube.com/playlist?list=PLrMkPhRNv7f10GarG4QwcAAwQQNMato1j")</f>
        <v>https://www.youtube.com/playlist?list=PLrMkPhRNv7f10GarG4QwcAAwQQNMato1j</v>
      </c>
      <c r="L103" t="inlineStr">
        <is>
          <t xml:space="preserve">Playlist | 🤖 Microsoft Power Automate Desktop Tutorial - Getting Started Install &amp; Setup [DAY 1] · 10:10 | 🤖 Microsoft Power Automate Desktop Tutorial - How to create your first desktop flow [DAY 2] · 13:16 | View full playlist | Welcome to "Power Automate Desktop Tutorials: Streamline Your Workfl</t>
        </is>
      </c>
      <c r="M103" t="inlineStr">
        <is>
          <t xml:space="preserve">power automate desktop full course</t>
        </is>
      </c>
    </row>
    <row r="104">
      <c r="A104" s="3">
        <v>103</v>
      </c>
      <c r="B104" t="inlineStr">
        <is>
          <t xml:space="preserve">Playlist</t>
        </is>
      </c>
      <c r="C104" t="inlineStr">
        <is>
          <t xml:space="preserve">English</t>
        </is>
      </c>
      <c r="D104" t="inlineStr">
        <is>
          <t xml:space="preserve">Project / Use case</t>
        </is>
      </c>
      <c r="E104" t="inlineStr">
        <is>
          <t xml:space="preserve">SharePoint, Approvals, Power Apps</t>
        </is>
      </c>
      <c r="F104" t="inlineStr">
        <is>
          <t xml:space="preserve">Power Apps &amp; Power Automate Integration</t>
        </is>
      </c>
      <c r="G104" t="inlineStr">
        <is>
          <t xml:space="preserve">Reza Dorrani</t>
        </is>
      </c>
      <c r="H104" t="inlineStr">
        <is>
          <t xml:space="preserve"/>
        </is>
      </c>
      <c r="I104" t="inlineStr">
        <is>
          <t xml:space="preserve"/>
        </is>
      </c>
      <c r="J104" t="inlineStr">
        <is>
          <t xml:space="preserve">21 videos</t>
        </is>
      </c>
      <c r="K104" s="2" t="str">
        <f>HYPERLINK("https://www.youtube.com/playlist?list=PLTyFh-qDKAiE8Cl15mz1wMNz2nUbgXFGU","https://www.youtube.com/playlist?list=PLTyFh-qDKAiE8Cl15mz1wMNz2nUbgXFGU")</f>
        <v>https://www.youtube.com/playlist?list=PLTyFh-qDKAiE8Cl15mz1wMNz2nUbgXFGU</v>
      </c>
      <c r="L104" t="inlineStr">
        <is>
          <t xml:space="preserve">Playlist | Build a Power App + Power Automate Approval Flow in 15 Minutes with MCP · 18:44 | UPLOAD files from Power Apps to SharePoint Document Library ➕ Set Properties · 21:38 | View full playlist</t>
        </is>
      </c>
      <c r="M104" t="inlineStr">
        <is>
          <t xml:space="preserve">power automate sharepoint automation ; power apps power automate project</t>
        </is>
      </c>
    </row>
    <row r="105">
      <c r="A105" s="3">
        <v>104</v>
      </c>
      <c r="B105" t="inlineStr">
        <is>
          <t xml:space="preserve">Playlist</t>
        </is>
      </c>
      <c r="C105" t="inlineStr">
        <is>
          <t xml:space="preserve">English</t>
        </is>
      </c>
      <c r="D105" t="inlineStr">
        <is>
          <t xml:space="preserve">Project / Use case</t>
        </is>
      </c>
      <c r="E105" t="inlineStr">
        <is>
          <t xml:space="preserve">Desktop/RPA, Excel, Web automation</t>
        </is>
      </c>
      <c r="F105" t="inlineStr">
        <is>
          <t xml:space="preserve">power automate excel to web form</t>
        </is>
      </c>
      <c r="G105" t="inlineStr">
        <is>
          <t xml:space="preserve">Stephen Vernon</t>
        </is>
      </c>
      <c r="H105" t="inlineStr">
        <is>
          <t xml:space="preserve"/>
        </is>
      </c>
      <c r="I105" t="inlineStr">
        <is>
          <t xml:space="preserve"/>
        </is>
      </c>
      <c r="J105" t="inlineStr">
        <is>
          <t xml:space="preserve">7 videos</t>
        </is>
      </c>
      <c r="K105" s="2" t="str">
        <f>HYPERLINK("https://www.youtube.com/playlist?list=PLYYipGc8xXbub7JTVjgVP1ApdXgQD7EXd","https://www.youtube.com/playlist?list=PLYYipGc8xXbub7JTVjgVP1ApdXgQD7EXd")</f>
        <v>https://www.youtube.com/playlist?list=PLYYipGc8xXbub7JTVjgVP1ApdXgQD7EXd</v>
      </c>
      <c r="L105" t="inlineStr">
        <is>
          <t xml:space="preserve">Playlist | Power Automate Deskop - How To Fill Data From Excel To Web Form (Full Tutorial) · 19:29 | Power Automate Desktop : Data Entry Project with Web Form Filling Actions &amp; Excel Automation · 14:02 | View full playlist</t>
        </is>
      </c>
      <c r="M105" t="inlineStr">
        <is>
          <t xml:space="preserve">power automate excel automation ; power automate hindi</t>
        </is>
      </c>
    </row>
    <row r="106">
      <c r="A106" s="3">
        <v>105</v>
      </c>
      <c r="B106" t="inlineStr">
        <is>
          <t xml:space="preserve">Playlist</t>
        </is>
      </c>
      <c r="C106" t="inlineStr">
        <is>
          <t xml:space="preserve">English</t>
        </is>
      </c>
      <c r="D106" t="inlineStr">
        <is>
          <t xml:space="preserve">Project / Use case</t>
        </is>
      </c>
      <c r="E106" t="inlineStr">
        <is>
          <t xml:space="preserve">Desktop/RPA, AI/Copilot</t>
        </is>
      </c>
      <c r="F106" t="inlineStr">
        <is>
          <t xml:space="preserve">PL-500: Microsoft Power Automate RPA Developer</t>
        </is>
      </c>
      <c r="G106" t="inlineStr">
        <is>
          <t xml:space="preserve">Anders Jensen</t>
        </is>
      </c>
      <c r="H106" t="inlineStr">
        <is>
          <t xml:space="preserve"/>
        </is>
      </c>
      <c r="I106" t="inlineStr">
        <is>
          <t xml:space="preserve"/>
        </is>
      </c>
      <c r="J106" t="inlineStr">
        <is>
          <t xml:space="preserve">6 videos</t>
        </is>
      </c>
      <c r="K106" s="2" t="str">
        <f>HYPERLINK("https://www.youtube.com/playlist?list=PLXXz88_TPiHrnu0itj7At0K-xEZyl2XNr","https://www.youtube.com/playlist?list=PLXXz88_TPiHrnu0itj7At0K-xEZyl2XNr")</f>
        <v>https://www.youtube.com/playlist?list=PLXXz88_TPiHrnu0itj7At0K-xEZyl2XNr</v>
      </c>
      <c r="L106" t="inlineStr">
        <is>
          <t xml:space="preserve">Playlist | Updated today | How to Install the Contoso Invoicing Application · 4:04 | Advanced Error and Exception Handling in Power Automate Desktop - Complete Tutorial · 46:08 | View full playlist | Practical exercises for the PL-500 Microsoft Power Automate RPA Developer exam: The Contoso Invoicin</t>
        </is>
      </c>
      <c r="M106" t="inlineStr">
        <is>
          <t xml:space="preserve">PL-500 power automate RPA developer</t>
        </is>
      </c>
    </row>
    <row r="107">
      <c r="A107" s="3">
        <v>106</v>
      </c>
      <c r="B107" t="inlineStr">
        <is>
          <t xml:space="preserve">Playlist</t>
        </is>
      </c>
      <c r="C107" t="inlineStr">
        <is>
          <t xml:space="preserve">English</t>
        </is>
      </c>
      <c r="D107" t="inlineStr">
        <is>
          <t xml:space="preserve">Project / Use case</t>
        </is>
      </c>
      <c r="E107" t="inlineStr">
        <is>
          <t xml:space="preserve">Cloud flows, Approvals</t>
        </is>
      </c>
      <c r="F107" t="inlineStr">
        <is>
          <t xml:space="preserve">Power Automate Interview Questions (With Real Scenarios)</t>
        </is>
      </c>
      <c r="G107" t="inlineStr">
        <is>
          <t xml:space="preserve">CoyLix</t>
        </is>
      </c>
      <c r="H107" t="inlineStr">
        <is>
          <t xml:space="preserve"/>
        </is>
      </c>
      <c r="I107" t="inlineStr">
        <is>
          <t xml:space="preserve"/>
        </is>
      </c>
      <c r="J107" t="inlineStr">
        <is>
          <t xml:space="preserve">8 videos</t>
        </is>
      </c>
      <c r="K107" s="2" t="str">
        <f>HYPERLINK("https://www.youtube.com/playlist?list=PLIgGRj_DudkhkYbf0Va8lRDOwAA2k_SuW","https://www.youtube.com/playlist?list=PLIgGRj_DudkhkYbf0Va8lRDOwAA2k_SuW")</f>
        <v>https://www.youtube.com/playlist?list=PLIgGRj_DudkhkYbf0Va8lRDOwAA2k_SuW</v>
      </c>
      <c r="L107" t="inlineStr">
        <is>
          <t xml:space="preserve">Playlist | Crack Your Next Power Automate Interview | 100+ Power Automate Interview Questions (2026) | CoyLix · 1:32:20 | Only 5% Score 15/15 | Power Automate Interview Questions &amp; Answers | CoyLix · 10:06 | View full playlist | Power Automate interview questions explained with real-world scenarios </t>
        </is>
      </c>
      <c r="M107" t="inlineStr">
        <is>
          <t xml:space="preserve">power automate interview questions</t>
        </is>
      </c>
    </row>
    <row r="108">
      <c r="A108" s="3">
        <v>107</v>
      </c>
      <c r="B108" t="inlineStr">
        <is>
          <t xml:space="preserve">Playlist</t>
        </is>
      </c>
      <c r="C108" t="inlineStr">
        <is>
          <t xml:space="preserve">English</t>
        </is>
      </c>
      <c r="D108" t="inlineStr">
        <is>
          <t xml:space="preserve">Project / Use case</t>
        </is>
      </c>
      <c r="E108" t="inlineStr">
        <is>
          <t xml:space="preserve">Power Apps, Forms</t>
        </is>
      </c>
      <c r="F108" t="inlineStr">
        <is>
          <t xml:space="preserve">Power Apps Interview Questions (Beginner to Advanced)</t>
        </is>
      </c>
      <c r="G108" t="inlineStr">
        <is>
          <t xml:space="preserve">CoyLix</t>
        </is>
      </c>
      <c r="H108" t="inlineStr">
        <is>
          <t xml:space="preserve"/>
        </is>
      </c>
      <c r="I108" t="inlineStr">
        <is>
          <t xml:space="preserve"/>
        </is>
      </c>
      <c r="J108" t="inlineStr">
        <is>
          <t xml:space="preserve">63 videos</t>
        </is>
      </c>
      <c r="K108" s="2" t="str">
        <f>HYPERLINK("https://www.youtube.com/playlist?list=PLIgGRj_Dudkh43KTifylsGqagytnwLl3v","https://www.youtube.com/playlist?list=PLIgGRj_Dudkh43KTifylsGqagytnwLl3v")</f>
        <v>https://www.youtube.com/playlist?list=PLIgGRj_Dudkh43KTifylsGqagytnwLl3v</v>
      </c>
      <c r="L108" t="inlineStr">
        <is>
          <t xml:space="preserve">Playlist | 125+ Power Apps Interview Questions That Will Get You HIRED (Full Mega Video) · 2:00:37 | The Only Power Apps Interview Guide You Need: 110+ Questions · 43:57 | View full playlist | Power Apps interview questions covering beginner to advanced topics with real-world examples and practical </t>
        </is>
      </c>
      <c r="M108" t="inlineStr">
        <is>
          <t xml:space="preserve">power automate interview questions</t>
        </is>
      </c>
    </row>
    <row r="109">
      <c r="A109" s="3">
        <v>108</v>
      </c>
      <c r="B109" t="inlineStr">
        <is>
          <t xml:space="preserve">Playlist</t>
        </is>
      </c>
      <c r="C109" t="inlineStr">
        <is>
          <t xml:space="preserve">English</t>
        </is>
      </c>
      <c r="D109" t="inlineStr">
        <is>
          <t xml:space="preserve">Project / Use case</t>
        </is>
      </c>
      <c r="E109" t="inlineStr">
        <is>
          <t xml:space="preserve">Power Apps</t>
        </is>
      </c>
      <c r="F109" t="inlineStr">
        <is>
          <t xml:space="preserve">Project Management App in Power Apps</t>
        </is>
      </c>
      <c r="G109" t="inlineStr">
        <is>
          <t xml:space="preserve">The Analyst Nik</t>
        </is>
      </c>
      <c r="H109" t="inlineStr">
        <is>
          <t xml:space="preserve"/>
        </is>
      </c>
      <c r="I109" t="inlineStr">
        <is>
          <t xml:space="preserve"/>
        </is>
      </c>
      <c r="J109" t="inlineStr">
        <is>
          <t xml:space="preserve">6 videos</t>
        </is>
      </c>
      <c r="K109" s="2" t="str">
        <f>HYPERLINK("https://www.youtube.com/playlist?list=PLqdX1lLexBLjWGgwPDpWZm7rjrMzWAZty","https://www.youtube.com/playlist?list=PLqdX1lLexBLjWGgwPDpWZm7rjrMzWAZty")</f>
        <v>https://www.youtube.com/playlist?list=PLqdX1lLexBLjWGgwPDpWZm7rjrMzWAZty</v>
      </c>
      <c r="L109" t="inlineStr">
        <is>
          <t xml:space="preserve">Playlist | Let's Build a Project Management Power App · 1:59:17 | Custom Filter Panel in Power Apps · 58:04 | View full playlist</t>
        </is>
      </c>
      <c r="M109" t="inlineStr">
        <is>
          <t xml:space="preserve">power apps power automate project</t>
        </is>
      </c>
    </row>
    <row r="110">
      <c r="A110" s="3">
        <v>109</v>
      </c>
      <c r="B110" t="inlineStr">
        <is>
          <t xml:space="preserve">Playlist</t>
        </is>
      </c>
      <c r="C110" t="inlineStr">
        <is>
          <t xml:space="preserve">English</t>
        </is>
      </c>
      <c r="D110" t="inlineStr">
        <is>
          <t xml:space="preserve">Project / Use case</t>
        </is>
      </c>
      <c r="E110" t="inlineStr">
        <is>
          <t xml:space="preserve">Power Apps, Dataverse</t>
        </is>
      </c>
      <c r="F110" t="inlineStr">
        <is>
          <t xml:space="preserve">Project Management App in Power Apps</t>
        </is>
      </c>
      <c r="G110" t="inlineStr">
        <is>
          <t xml:space="preserve">Apptomax</t>
        </is>
      </c>
      <c r="H110" t="inlineStr">
        <is>
          <t xml:space="preserve"/>
        </is>
      </c>
      <c r="I110" t="inlineStr">
        <is>
          <t xml:space="preserve"/>
        </is>
      </c>
      <c r="J110" t="inlineStr">
        <is>
          <t xml:space="preserve">8 videos</t>
        </is>
      </c>
      <c r="K110" s="2" t="str">
        <f>HYPERLINK("https://www.youtube.com/playlist?list=PL6hnAN50Ah3p-fHnn0H4hbgAOKzpTHTzq","https://www.youtube.com/playlist?list=PL6hnAN50Ah3p-fHnn0H4hbgAOKzpTHTzq")</f>
        <v>https://www.youtube.com/playlist?list=PL6hnAN50Ah3p-fHnn0H4hbgAOKzpTHTzq</v>
      </c>
      <c r="L110" t="inlineStr">
        <is>
          <t xml:space="preserve">Playlist | Project Management App in Power Apps – Part 1: Menu Screen | Full Template Available · 16:54 | Part 2: Build Project Management App | Dataverse Lookup + Navigation + Dashboard in PowerApps · 41:42 | View full playlist</t>
        </is>
      </c>
      <c r="M110" t="inlineStr">
        <is>
          <t xml:space="preserve">power apps power automate project</t>
        </is>
      </c>
    </row>
    <row r="111">
      <c r="A111" s="3">
        <v>110</v>
      </c>
      <c r="B111" t="inlineStr">
        <is>
          <t xml:space="preserve">Playlist</t>
        </is>
      </c>
      <c r="C111" t="inlineStr">
        <is>
          <t xml:space="preserve">English</t>
        </is>
      </c>
      <c r="D111" t="inlineStr">
        <is>
          <t xml:space="preserve">Project / Use case</t>
        </is>
      </c>
      <c r="E111" t="inlineStr">
        <is>
          <t xml:space="preserve">Excel, Power Apps</t>
        </is>
      </c>
      <c r="F111" t="inlineStr">
        <is>
          <t xml:space="preserve">Microsoft Power Apps Beginner Course - Full Step-by-Step Tutorial</t>
        </is>
      </c>
      <c r="G111" t="inlineStr">
        <is>
          <t xml:space="preserve">Rudimar | Microsoft MVP | Power Apps in English</t>
        </is>
      </c>
      <c r="H111" t="inlineStr">
        <is>
          <t xml:space="preserve"/>
        </is>
      </c>
      <c r="I111" t="inlineStr">
        <is>
          <t xml:space="preserve"/>
        </is>
      </c>
      <c r="J111" t="inlineStr">
        <is>
          <t xml:space="preserve">55 videos</t>
        </is>
      </c>
      <c r="K111" s="2" t="str">
        <f>HYPERLINK("https://www.youtube.com/playlist?list=PLJCcpEOSXzJToutT3VAhQzOcf13lKM569","https://www.youtube.com/playlist?list=PLJCcpEOSXzJToutT3VAhQzOcf13lKM569")</f>
        <v>https://www.youtube.com/playlist?list=PLJCcpEOSXzJToutT3VAhQzOcf13lKM569</v>
      </c>
      <c r="L111" t="inlineStr">
        <is>
          <t xml:space="preserve">Playlist | First Steps in Power Apps: A Beginner's Guide - Power Apps Canvas App Tutorial Series · 2:47 | Getting Started with Power Apps: How to Get Access &amp; Start Developing · 4:52 | View full playlist | In this Power Apps tutorial, designed for Microsoft Power Apps beginners, you’ll learn how to </t>
        </is>
      </c>
      <c r="M111" t="inlineStr">
        <is>
          <t xml:space="preserve">power apps power automate project</t>
        </is>
      </c>
    </row>
    <row r="112">
      <c r="A112" s="3">
        <v>111</v>
      </c>
      <c r="B112" t="inlineStr">
        <is>
          <t xml:space="preserve">Playlist</t>
        </is>
      </c>
      <c r="C112" t="inlineStr">
        <is>
          <t xml:space="preserve">English</t>
        </is>
      </c>
      <c r="D112" t="inlineStr">
        <is>
          <t xml:space="preserve">Project / Use case</t>
        </is>
      </c>
      <c r="E112" t="inlineStr">
        <is>
          <t xml:space="preserve">AI/Copilot, Power Apps</t>
        </is>
      </c>
      <c r="F112" t="inlineStr">
        <is>
          <t xml:space="preserve">PowerApps</t>
        </is>
      </c>
      <c r="G112" t="inlineStr">
        <is>
          <t xml:space="preserve">Swami Nawale</t>
        </is>
      </c>
      <c r="H112" t="inlineStr">
        <is>
          <t xml:space="preserve"/>
        </is>
      </c>
      <c r="I112" t="inlineStr">
        <is>
          <t xml:space="preserve"/>
        </is>
      </c>
      <c r="J112" t="inlineStr">
        <is>
          <t xml:space="preserve">52 videos</t>
        </is>
      </c>
      <c r="K112" s="2" t="str">
        <f>HYPERLINK("https://www.youtube.com/playlist?list=PL3DonZvLYAD2Wwzqn9dZ7seNtcsOdrOhj","https://www.youtube.com/playlist?list=PL3DonZvLYAD2Wwzqn9dZ7seNtcsOdrOhj")</f>
        <v>https://www.youtube.com/playlist?list=PL3DonZvLYAD2Wwzqn9dZ7seNtcsOdrOhj</v>
      </c>
      <c r="L112" t="inlineStr">
        <is>
          <t xml:space="preserve">Playlist | PowerApps Inspection App with AI Photo Analysis · 6:33 | Claude Code For Power Apps: Prototype Before You Build · 29:20 | View full playlist | This playlist contains solution-focused videos built using Power Apps. You’ll see real-world app demos, practical use cases, and design patterns.T</t>
        </is>
      </c>
      <c r="M112" t="inlineStr">
        <is>
          <t xml:space="preserve">power apps power automate project</t>
        </is>
      </c>
    </row>
    <row r="113">
      <c r="A113" s="3">
        <v>112</v>
      </c>
      <c r="B113" t="inlineStr">
        <is>
          <t xml:space="preserve">Playlist</t>
        </is>
      </c>
      <c r="C113" t="inlineStr">
        <is>
          <t xml:space="preserve">English</t>
        </is>
      </c>
      <c r="D113" t="inlineStr">
        <is>
          <t xml:space="preserve">Project / Use case</t>
        </is>
      </c>
      <c r="E113" t="inlineStr">
        <is>
          <t xml:space="preserve"/>
        </is>
      </c>
      <c r="F113" t="inlineStr">
        <is>
          <t xml:space="preserve">✔️Get &amp; Visualize Project &amp; Task Data</t>
        </is>
      </c>
      <c r="G113" t="inlineStr">
        <is>
          <t xml:space="preserve">Christine Payton</t>
        </is>
      </c>
      <c r="H113" t="inlineStr">
        <is>
          <t xml:space="preserve"/>
        </is>
      </c>
      <c r="I113" t="inlineStr">
        <is>
          <t xml:space="preserve"/>
        </is>
      </c>
      <c r="J113" t="inlineStr">
        <is>
          <t xml:space="preserve">14 videos</t>
        </is>
      </c>
      <c r="K113" s="2" t="str">
        <f>HYPERLINK("https://www.youtube.com/playlist?list=PLVWnQj3YS9wvbJves79UWCQLTMNXcviy_","https://www.youtube.com/playlist?list=PLVWnQj3YS9wvbJves79UWCQLTMNXcviy_")</f>
        <v>https://www.youtube.com/playlist?list=PLVWnQj3YS9wvbJves79UWCQLTMNXcviy_</v>
      </c>
      <c r="L113" t="inlineStr">
        <is>
          <t xml:space="preserve">Playlist | Get Planner Task Details with Power Automate - Assignees, subtasks, buckets, dates! · 19:33 | Report on Planner Data in Power BI · 20:49 | View full playlist | Always challenge in Power BI, right?</t>
        </is>
      </c>
      <c r="M113" t="inlineStr">
        <is>
          <t xml:space="preserve">power automate project</t>
        </is>
      </c>
    </row>
    <row r="114">
      <c r="A114" s="3">
        <v>113</v>
      </c>
      <c r="B114" t="inlineStr">
        <is>
          <t xml:space="preserve">Video</t>
        </is>
      </c>
      <c r="C114" t="inlineStr">
        <is>
          <t xml:space="preserve">English</t>
        </is>
      </c>
      <c r="D114" t="inlineStr">
        <is>
          <t xml:space="preserve">Certification</t>
        </is>
      </c>
      <c r="E114" t="inlineStr">
        <is>
          <t xml:space="preserve"/>
        </is>
      </c>
      <c r="F114" t="inlineStr">
        <is>
          <t xml:space="preserve">PL-900 Microsoft Power Platform Fundamentals Study Cram</t>
        </is>
      </c>
      <c r="G114" t="inlineStr">
        <is>
          <t xml:space="preserve">John Savill's Technical Training</t>
        </is>
      </c>
      <c r="H114" s="3">
        <v>181295</v>
      </c>
      <c r="I114" t="inlineStr">
        <is>
          <t xml:space="preserve">5y ago</t>
        </is>
      </c>
      <c r="J114" t="inlineStr">
        <is>
          <t xml:space="preserve">1:06:42</t>
        </is>
      </c>
      <c r="K114" s="2" t="str">
        <f>HYPERLINK("https://www.youtube.com/watch?v=lbPHM-MiEUA","https://www.youtube.com/watch?v=lbPHM-MiEUA")</f>
        <v>https://www.youtube.com/watch?v=lbPHM-MiEUA</v>
      </c>
      <c r="L114" t="inlineStr">
        <is>
          <t xml:space="preserve">Some hints and tips on passing the PL-900 exam for the Power Platform Fundamentals certification. Whiteboard ...</t>
        </is>
      </c>
      <c r="M114" t="inlineStr">
        <is>
          <t xml:space="preserve">PL-900 power platform</t>
        </is>
      </c>
    </row>
    <row r="115">
      <c r="A115" s="3">
        <v>114</v>
      </c>
      <c r="B115" t="inlineStr">
        <is>
          <t xml:space="preserve">Video</t>
        </is>
      </c>
      <c r="C115" t="inlineStr">
        <is>
          <t xml:space="preserve">English</t>
        </is>
      </c>
      <c r="D115" t="inlineStr">
        <is>
          <t xml:space="preserve">Certification</t>
        </is>
      </c>
      <c r="E115" t="inlineStr">
        <is>
          <t xml:space="preserve">AI/Copilot</t>
        </is>
      </c>
      <c r="F115" t="inlineStr">
        <is>
          <t xml:space="preserve">Business value of Microsoft Power Platform in the age of AI | PL-900 | Episode 1</t>
        </is>
      </c>
      <c r="G115" t="inlineStr">
        <is>
          <t xml:space="preserve">Microsoft Learn</t>
        </is>
      </c>
      <c r="H115" s="3">
        <v>37825</v>
      </c>
      <c r="I115" t="inlineStr">
        <is>
          <t xml:space="preserve">9mo ago</t>
        </is>
      </c>
      <c r="J115" t="inlineStr">
        <is>
          <t xml:space="preserve">43:28</t>
        </is>
      </c>
      <c r="K115" s="2" t="str">
        <f>HYPERLINK("https://www.youtube.com/watch?v=fPuU_NXcQJY","https://www.youtube.com/watch?v=fPuU_NXcQJY")</f>
        <v>https://www.youtube.com/watch?v=fPuU_NXcQJY</v>
      </c>
      <c r="L115" t="inlineStr">
        <is>
          <t xml:space="preserve">Episode 1 of 6 For the full video series, click here: https://aka.ms/PL-900onYouTube In this video, you'll explore the business ...</t>
        </is>
      </c>
      <c r="M115" t="inlineStr">
        <is>
          <t xml:space="preserve">PL-900 power platform</t>
        </is>
      </c>
    </row>
    <row r="116">
      <c r="A116" s="3">
        <v>115</v>
      </c>
      <c r="B116" t="inlineStr">
        <is>
          <t xml:space="preserve">Video</t>
        </is>
      </c>
      <c r="C116" t="inlineStr">
        <is>
          <t xml:space="preserve">English</t>
        </is>
      </c>
      <c r="D116" t="inlineStr">
        <is>
          <t xml:space="preserve">Certification</t>
        </is>
      </c>
      <c r="E116" t="inlineStr">
        <is>
          <t xml:space="preserve"/>
        </is>
      </c>
      <c r="F116" t="inlineStr">
        <is>
          <t xml:space="preserve">10 Power Automate Examples You NEED to See</t>
        </is>
      </c>
      <c r="G116" t="inlineStr">
        <is>
          <t xml:space="preserve">SharePoint Dougie</t>
        </is>
      </c>
      <c r="H116" s="3">
        <v>31595</v>
      </c>
      <c r="I116" t="inlineStr">
        <is>
          <t xml:space="preserve">2y ago</t>
        </is>
      </c>
      <c r="J116" t="inlineStr">
        <is>
          <t xml:space="preserve">24:34</t>
        </is>
      </c>
      <c r="K116" s="2" t="str">
        <f>HYPERLINK("https://www.youtube.com/watch?v=fSnjL4h3knY","https://www.youtube.com/watch?v=fSnjL4h3knY")</f>
        <v>https://www.youtube.com/watch?v=fSnjL4h3knY</v>
      </c>
      <c r="L116" t="inlineStr">
        <is>
          <t xml:space="preserve">Welcome to "Power Automate Examples Explained" Need a Consultant? Contact https://www.taskm.co.uk/contact-us our ...</t>
        </is>
      </c>
      <c r="M116" t="inlineStr">
        <is>
          <t xml:space="preserve">power automate real world project</t>
        </is>
      </c>
    </row>
    <row r="117">
      <c r="A117" s="3">
        <v>116</v>
      </c>
      <c r="B117" t="inlineStr">
        <is>
          <t xml:space="preserve">Video</t>
        </is>
      </c>
      <c r="C117" t="inlineStr">
        <is>
          <t xml:space="preserve">English</t>
        </is>
      </c>
      <c r="D117" t="inlineStr">
        <is>
          <t xml:space="preserve">Certification</t>
        </is>
      </c>
      <c r="E117" t="inlineStr">
        <is>
          <t xml:space="preserve">Desktop/RPA</t>
        </is>
      </c>
      <c r="F117" t="inlineStr">
        <is>
          <t xml:space="preserve">Microsoft Certified Power Automate RPA Developer Associate certification (PL-500) Beta</t>
        </is>
      </c>
      <c r="G117" t="inlineStr">
        <is>
          <t xml:space="preserve">Learn RPA &amp; AI Technologies every day</t>
        </is>
      </c>
      <c r="H117" s="3">
        <v>15445</v>
      </c>
      <c r="I117" t="inlineStr">
        <is>
          <t xml:space="preserve">4y ago</t>
        </is>
      </c>
      <c r="J117" t="inlineStr">
        <is>
          <t xml:space="preserve">6:07</t>
        </is>
      </c>
      <c r="K117" s="2" t="str">
        <f>HYPERLINK("https://www.youtube.com/watch?v=KkYRq8DaCx4","https://www.youtube.com/watch?v=KkYRq8DaCx4")</f>
        <v>https://www.youtube.com/watch?v=KkYRq8DaCx4</v>
      </c>
      <c r="L117" t="inlineStr">
        <is>
          <t xml:space="preserve">PL-500 #Associatecertification #PowerAutomate #MicrosoftPowerAutomate #MicrosoftPowerAutomateDesktop ...</t>
        </is>
      </c>
      <c r="M117" t="inlineStr">
        <is>
          <t xml:space="preserve">PL-500 power automate RPA developer</t>
        </is>
      </c>
    </row>
    <row r="118">
      <c r="A118" s="3">
        <v>117</v>
      </c>
      <c r="B118" t="inlineStr">
        <is>
          <t xml:space="preserve">Video</t>
        </is>
      </c>
      <c r="C118" t="inlineStr">
        <is>
          <t xml:space="preserve">English</t>
        </is>
      </c>
      <c r="D118" t="inlineStr">
        <is>
          <t xml:space="preserve">Certification</t>
        </is>
      </c>
      <c r="E118" t="inlineStr">
        <is>
          <t xml:space="preserve"/>
        </is>
      </c>
      <c r="F118" t="inlineStr">
        <is>
          <t xml:space="preserve">How I Passed the Microsoft PL-900 Exam in a Week and a Half</t>
        </is>
      </c>
      <c r="G118" t="inlineStr">
        <is>
          <t xml:space="preserve">Jessica</t>
        </is>
      </c>
      <c r="H118" s="3">
        <v>9858</v>
      </c>
      <c r="I118" t="inlineStr">
        <is>
          <t xml:space="preserve">1y ago</t>
        </is>
      </c>
      <c r="J118" t="inlineStr">
        <is>
          <t xml:space="preserve">10:25</t>
        </is>
      </c>
      <c r="K118" s="2" t="str">
        <f>HYPERLINK("https://www.youtube.com/watch?v=UM6ojXIW4aw","https://www.youtube.com/watch?v=UM6ojXIW4aw")</f>
        <v>https://www.youtube.com/watch?v=UM6ojXIW4aw</v>
      </c>
      <c r="L118" t="inlineStr">
        <is>
          <t xml:space="preserve">In this video, I'll be sharing how I was able to study for the PL-900 and pass in a week and a half. All the resources mentioned in ...</t>
        </is>
      </c>
      <c r="M118" t="inlineStr">
        <is>
          <t xml:space="preserve">PL-900 power platform</t>
        </is>
      </c>
    </row>
    <row r="119">
      <c r="A119" s="3">
        <v>118</v>
      </c>
      <c r="B119" t="inlineStr">
        <is>
          <t xml:space="preserve">Video</t>
        </is>
      </c>
      <c r="C119" t="inlineStr">
        <is>
          <t xml:space="preserve">English</t>
        </is>
      </c>
      <c r="D119" t="inlineStr">
        <is>
          <t xml:space="preserve">Certification</t>
        </is>
      </c>
      <c r="E119" t="inlineStr">
        <is>
          <t xml:space="preserve">Desktop/RPA</t>
        </is>
      </c>
      <c r="F119" t="inlineStr">
        <is>
          <t xml:space="preserve">How to pass the RPA Microsoft Power Automate PL-500 Exam? (FAQ) | PL500 Exam</t>
        </is>
      </c>
      <c r="G119" t="inlineStr">
        <is>
          <t xml:space="preserve">EmergenTeck</t>
        </is>
      </c>
      <c r="H119" s="3">
        <v>8583</v>
      </c>
      <c r="I119" t="inlineStr">
        <is>
          <t xml:space="preserve">3y ago</t>
        </is>
      </c>
      <c r="J119" t="inlineStr">
        <is>
          <t xml:space="preserve">11:38</t>
        </is>
      </c>
      <c r="K119" s="2" t="str">
        <f>HYPERLINK("https://www.youtube.com/watch?v=Xq-PRN-AedE","https://www.youtube.com/watch?v=Xq-PRN-AedE")</f>
        <v>https://www.youtube.com/watch?v=Xq-PRN-AedE</v>
      </c>
      <c r="L119" t="inlineStr">
        <is>
          <t xml:space="preserve">How to pass the RPA Microsoft Power Automate PL-500 Exam? (FAQ) In this video, we provide you with all the essential ...</t>
        </is>
      </c>
      <c r="M119" t="inlineStr">
        <is>
          <t xml:space="preserve">PL-500 power automate RPA developer</t>
        </is>
      </c>
    </row>
    <row r="120">
      <c r="A120" s="3">
        <v>119</v>
      </c>
      <c r="B120" t="inlineStr">
        <is>
          <t xml:space="preserve">Video</t>
        </is>
      </c>
      <c r="C120" t="inlineStr">
        <is>
          <t xml:space="preserve">English</t>
        </is>
      </c>
      <c r="D120" t="inlineStr">
        <is>
          <t xml:space="preserve">Certification</t>
        </is>
      </c>
      <c r="E120" t="inlineStr">
        <is>
          <t xml:space="preserve">Desktop/RPA</t>
        </is>
      </c>
      <c r="F120" t="inlineStr">
        <is>
          <t xml:space="preserve">✅ How I Cleared PL-500 Power Automate Exam || Real Exam Questions || My Preparation Strategy</t>
        </is>
      </c>
      <c r="G120" t="inlineStr">
        <is>
          <t xml:space="preserve">KT Sessions</t>
        </is>
      </c>
      <c r="H120" s="3">
        <v>4133</v>
      </c>
      <c r="I120" t="inlineStr">
        <is>
          <t xml:space="preserve">1y ago</t>
        </is>
      </c>
      <c r="J120" t="inlineStr">
        <is>
          <t xml:space="preserve">36:36</t>
        </is>
      </c>
      <c r="K120" s="2" t="str">
        <f>HYPERLINK("https://www.youtube.com/watch?v=JRLvneW1psY","https://www.youtube.com/watch?v=JRLvneW1psY")</f>
        <v>https://www.youtube.com/watch?v=JRLvneW1psY</v>
      </c>
      <c r="L120" t="inlineStr">
        <is>
          <t xml:space="preserve">My step-by-step journey of clearing the PL-500: Power Automate RPA Developer Associate Exam — even if you're just getting ...</t>
        </is>
      </c>
      <c r="M120" t="inlineStr">
        <is>
          <t xml:space="preserve">PL-500 power automate RPA developer</t>
        </is>
      </c>
    </row>
    <row r="121">
      <c r="A121" s="3">
        <v>120</v>
      </c>
      <c r="B121" t="inlineStr">
        <is>
          <t xml:space="preserve">Video</t>
        </is>
      </c>
      <c r="C121" t="inlineStr">
        <is>
          <t xml:space="preserve">English</t>
        </is>
      </c>
      <c r="D121" t="inlineStr">
        <is>
          <t xml:space="preserve">Certification</t>
        </is>
      </c>
      <c r="E121" t="inlineStr">
        <is>
          <t xml:space="preserve">SharePoint</t>
        </is>
      </c>
      <c r="F121" t="inlineStr">
        <is>
          <t xml:space="preserve">3 Ways to Automate SharePoint Site Creation: Flow Tutorial with Demos</t>
        </is>
      </c>
      <c r="G121" t="inlineStr">
        <is>
          <t xml:space="preserve">Laura Rogers, Microsoft MVP</t>
        </is>
      </c>
      <c r="H121" s="3">
        <v>3939</v>
      </c>
      <c r="I121" t="inlineStr">
        <is>
          <t xml:space="preserve">Streamed 1y ago</t>
        </is>
      </c>
      <c r="J121" t="inlineStr">
        <is>
          <t xml:space="preserve">56:46</t>
        </is>
      </c>
      <c r="K121" s="2" t="str">
        <f>HYPERLINK("https://www.youtube.com/watch?v=HZvsXS_gzFc","https://www.youtube.com/watch?v=HZvsXS_gzFc")</f>
        <v>https://www.youtube.com/watch?v=HZvsXS_gzFc</v>
      </c>
      <c r="L121" t="inlineStr">
        <is>
          <t xml:space="preserve">Learn several different ways of creating a flow that generates a new SharePoint site. Here are three examples. The first flow ...</t>
        </is>
      </c>
      <c r="M121" t="inlineStr">
        <is>
          <t xml:space="preserve">power automate sharepoint automation</t>
        </is>
      </c>
    </row>
    <row r="122">
      <c r="A122" s="3">
        <v>121</v>
      </c>
      <c r="B122" t="inlineStr">
        <is>
          <t xml:space="preserve">Video</t>
        </is>
      </c>
      <c r="C122" t="inlineStr">
        <is>
          <t xml:space="preserve">English</t>
        </is>
      </c>
      <c r="D122" t="inlineStr">
        <is>
          <t xml:space="preserve">Certification</t>
        </is>
      </c>
      <c r="E122" t="inlineStr">
        <is>
          <t xml:space="preserve">Desktop/RPA, Excel</t>
        </is>
      </c>
      <c r="F122" t="inlineStr">
        <is>
          <t xml:space="preserve">Automate Boring Excel Work with Power Automate Desktop</t>
        </is>
      </c>
      <c r="G122" t="inlineStr">
        <is>
          <t xml:space="preserve">Anders Jensen</t>
        </is>
      </c>
      <c r="H122" s="3">
        <v>3877</v>
      </c>
      <c r="I122" t="inlineStr">
        <is>
          <t xml:space="preserve">4mo ago</t>
        </is>
      </c>
      <c r="J122" t="inlineStr">
        <is>
          <t xml:space="preserve">52:15</t>
        </is>
      </c>
      <c r="K122" s="2" t="str">
        <f>HYPERLINK("https://www.youtube.com/watch?v=t3NwpIe8ZRk","https://www.youtube.com/watch?v=t3NwpIe8ZRk")</f>
        <v>https://www.youtube.com/watch?v=t3NwpIe8ZRk</v>
      </c>
      <c r="L122" t="inlineStr">
        <is>
          <t xml:space="preserve">In this Power Automate Desktop tutorial, you will learn how to automate boring Excel work using a real business example. We built ...</t>
        </is>
      </c>
      <c r="M122" t="inlineStr">
        <is>
          <t xml:space="preserve">power automate excel automation</t>
        </is>
      </c>
    </row>
    <row r="123">
      <c r="A123" s="3">
        <v>122</v>
      </c>
      <c r="B123" t="inlineStr">
        <is>
          <t xml:space="preserve">Video</t>
        </is>
      </c>
      <c r="C123" t="inlineStr">
        <is>
          <t xml:space="preserve">English</t>
        </is>
      </c>
      <c r="D123" t="inlineStr">
        <is>
          <t xml:space="preserve">Certification</t>
        </is>
      </c>
      <c r="E123" t="inlineStr">
        <is>
          <t xml:space="preserve">Desktop/RPA, PDF</t>
        </is>
      </c>
      <c r="F123" t="inlineStr">
        <is>
          <t xml:space="preserve">🚀 Cracked the PL-500 Exam in Just 4 Hours! | Microsoft Power Automate RPA Developer | Complete Guide</t>
        </is>
      </c>
      <c r="G123" t="inlineStr">
        <is>
          <t xml:space="preserve">DeepDumps</t>
        </is>
      </c>
      <c r="H123" s="3">
        <v>3560</v>
      </c>
      <c r="I123" t="inlineStr">
        <is>
          <t xml:space="preserve">1y ago</t>
        </is>
      </c>
      <c r="J123" t="inlineStr">
        <is>
          <t xml:space="preserve">22:55</t>
        </is>
      </c>
      <c r="K123" s="2" t="str">
        <f>HYPERLINK("https://www.youtube.com/watch?v=lhHvuhZr2II","https://www.youtube.com/watch?v=lhHvuhZr2II")</f>
        <v>https://www.youtube.com/watch?v=lhHvuhZr2II</v>
      </c>
      <c r="L123" t="inlineStr">
        <is>
          <t xml:space="preserve">Direct PDF Link: https://examheist.com/papers/microsoft/pl-500/1 Get instant access to the ultimate study resource for the Microsoft ...</t>
        </is>
      </c>
      <c r="M123" t="inlineStr">
        <is>
          <t xml:space="preserve">PL-500 power automate RPA developer</t>
        </is>
      </c>
    </row>
    <row r="124">
      <c r="A124" s="3">
        <v>123</v>
      </c>
      <c r="B124" t="inlineStr">
        <is>
          <t xml:space="preserve">Video</t>
        </is>
      </c>
      <c r="C124" t="inlineStr">
        <is>
          <t xml:space="preserve">English</t>
        </is>
      </c>
      <c r="D124" t="inlineStr">
        <is>
          <t xml:space="preserve">Certification</t>
        </is>
      </c>
      <c r="E124" t="inlineStr">
        <is>
          <t xml:space="preserve">Desktop/RPA</t>
        </is>
      </c>
      <c r="F124" t="inlineStr">
        <is>
          <t xml:space="preserve">Microsoft Certified Power Automate RPA Developer Associate Exam PL-500 Practice Question and Answers</t>
        </is>
      </c>
      <c r="G124" t="inlineStr">
        <is>
          <t xml:space="preserve">Tech With Shapingpixel</t>
        </is>
      </c>
      <c r="H124" s="3">
        <v>2822</v>
      </c>
      <c r="I124" t="inlineStr">
        <is>
          <t xml:space="preserve">1y ago</t>
        </is>
      </c>
      <c r="J124" t="inlineStr">
        <is>
          <t xml:space="preserve">3:00:39</t>
        </is>
      </c>
      <c r="K124" s="2" t="str">
        <f>HYPERLINK("https://www.youtube.com/watch?v=rqG4EeMkzzM","https://www.youtube.com/watch?v=rqG4EeMkzzM")</f>
        <v>https://www.youtube.com/watch?v=rqG4EeMkzzM</v>
      </c>
      <c r="L124" t="inlineStr">
        <is>
          <t xml:space="preserve">Join Our YouTube Channel Membership – Elevate Your Learning Experience! Unlock exclusive benefits and take your IT ...</t>
        </is>
      </c>
      <c r="M124" t="inlineStr">
        <is>
          <t xml:space="preserve">PL-500 power automate RPA developer</t>
        </is>
      </c>
    </row>
    <row r="125">
      <c r="A125" s="3">
        <v>124</v>
      </c>
      <c r="B125" t="inlineStr">
        <is>
          <t xml:space="preserve">Video</t>
        </is>
      </c>
      <c r="C125" t="inlineStr">
        <is>
          <t xml:space="preserve">English</t>
        </is>
      </c>
      <c r="D125" t="inlineStr">
        <is>
          <t xml:space="preserve">Certification</t>
        </is>
      </c>
      <c r="E125" t="inlineStr">
        <is>
          <t xml:space="preserve">Desktop/RPA</t>
        </is>
      </c>
      <c r="F125" t="inlineStr">
        <is>
          <t xml:space="preserve">PL-500: Microsoft Power Automate RPA Developer Free Full Practice Exam #pl500</t>
        </is>
      </c>
      <c r="G125" t="inlineStr">
        <is>
          <t xml:space="preserve">Exam Tests</t>
        </is>
      </c>
      <c r="H125" s="3">
        <v>909</v>
      </c>
      <c r="I125" t="inlineStr">
        <is>
          <t xml:space="preserve">2y ago</t>
        </is>
      </c>
      <c r="J125" t="inlineStr">
        <is>
          <t xml:space="preserve">51:58</t>
        </is>
      </c>
      <c r="K125" s="2" t="str">
        <f>HYPERLINK("https://www.youtube.com/watch?v=PErnUy3SKfU","https://www.youtube.com/watch?v=PErnUy3SKfU")</f>
        <v>https://www.youtube.com/watch?v=PErnUy3SKfU</v>
      </c>
      <c r="L125" t="inlineStr">
        <is>
          <t xml:space="preserve">Free, Actual and Latest Practice Test for those who are preparing for PL-500: Microsoft Power Automate RPA Developer #pl500 ...</t>
        </is>
      </c>
      <c r="M125" t="inlineStr">
        <is>
          <t xml:space="preserve">PL-500 power automate RPA developer</t>
        </is>
      </c>
    </row>
    <row r="126">
      <c r="A126" s="3">
        <v>125</v>
      </c>
      <c r="B126" t="inlineStr">
        <is>
          <t xml:space="preserve">Video</t>
        </is>
      </c>
      <c r="C126" t="inlineStr">
        <is>
          <t xml:space="preserve">English</t>
        </is>
      </c>
      <c r="D126" t="inlineStr">
        <is>
          <t xml:space="preserve">Certification</t>
        </is>
      </c>
      <c r="E126" t="inlineStr">
        <is>
          <t xml:space="preserve">Desktop/RPA</t>
        </is>
      </c>
      <c r="F126" t="inlineStr">
        <is>
          <t xml:space="preserve">Exam PL-500: Microsoft Power Automate RPA Developer</t>
        </is>
      </c>
      <c r="G126" t="inlineStr">
        <is>
          <t xml:space="preserve">CertsWarrior</t>
        </is>
      </c>
      <c r="H126" s="3">
        <v>433</v>
      </c>
      <c r="I126" t="inlineStr">
        <is>
          <t xml:space="preserve">3y ago</t>
        </is>
      </c>
      <c r="J126" t="inlineStr">
        <is>
          <t xml:space="preserve">1:07</t>
        </is>
      </c>
      <c r="K126" s="2" t="str">
        <f>HYPERLINK("https://www.youtube.com/watch?v=fFiFbYPNKM8","https://www.youtube.com/watch?v=fFiFbYPNKM8")</f>
        <v>https://www.youtube.com/watch?v=fFiFbYPNKM8</v>
      </c>
      <c r="L126" t="inlineStr">
        <is>
          <t xml:space="preserve">exam #code #PL500 #designing #microsoft #Power #Automate #RPA #Developer #azure #infrastructure #solutions #questions ...</t>
        </is>
      </c>
      <c r="M126" t="inlineStr">
        <is>
          <t xml:space="preserve">PL-500 power automate RPA developer</t>
        </is>
      </c>
    </row>
    <row r="127">
      <c r="A127" s="3">
        <v>126</v>
      </c>
      <c r="B127" t="inlineStr">
        <is>
          <t xml:space="preserve">Video</t>
        </is>
      </c>
      <c r="C127" t="inlineStr">
        <is>
          <t xml:space="preserve">English</t>
        </is>
      </c>
      <c r="D127" t="inlineStr">
        <is>
          <t xml:space="preserve">Certification</t>
        </is>
      </c>
      <c r="E127" t="inlineStr">
        <is>
          <t xml:space="preserve">Desktop/RPA</t>
        </is>
      </c>
      <c r="F127" t="inlineStr">
        <is>
          <t xml:space="preserve">How I Cracked Microsoft PL-500 Exam in 1 Day | Power Automate RPA Developer Questions + Explanations</t>
        </is>
      </c>
      <c r="G127" t="inlineStr">
        <is>
          <t xml:space="preserve">S4E Exam Prep Hub</t>
        </is>
      </c>
      <c r="H127" s="3">
        <v>235</v>
      </c>
      <c r="I127" t="inlineStr">
        <is>
          <t xml:space="preserve">6mo ago</t>
        </is>
      </c>
      <c r="J127" t="inlineStr">
        <is>
          <t xml:space="preserve">9:32</t>
        </is>
      </c>
      <c r="K127" s="2" t="str">
        <f>HYPERLINK("https://www.youtube.com/watch?v=7zVq-c6_Gq4","https://www.youtube.com/watch?v=7zVq-c6_Gq4")</f>
        <v>https://www.youtube.com/watch?v=7zVq-c6_Gq4</v>
      </c>
      <c r="L127" t="inlineStr">
        <is>
          <t xml:space="preserve">PL500 #PowerAutomate #MicrosoftCertification #education #itcertification #exam #exampreparation Download Full PL-500 ...</t>
        </is>
      </c>
      <c r="M127" t="inlineStr">
        <is>
          <t xml:space="preserve">PL-500 power automate RPA developer</t>
        </is>
      </c>
    </row>
    <row r="128">
      <c r="A128" s="3">
        <v>127</v>
      </c>
      <c r="B128" t="inlineStr">
        <is>
          <t xml:space="preserve">Video</t>
        </is>
      </c>
      <c r="C128" t="inlineStr">
        <is>
          <t xml:space="preserve">English</t>
        </is>
      </c>
      <c r="D128" t="inlineStr">
        <is>
          <t xml:space="preserve">Certification</t>
        </is>
      </c>
      <c r="E128" t="inlineStr">
        <is>
          <t xml:space="preserve">Desktop/RPA</t>
        </is>
      </c>
      <c r="F128" t="inlineStr">
        <is>
          <t xml:space="preserve">Microsoft PL-500 Practice Questions | Power Automate RPA Developer Exam Questions &amp; Answers</t>
        </is>
      </c>
      <c r="G128" t="inlineStr">
        <is>
          <t xml:space="preserve">P4S Exam Prep</t>
        </is>
      </c>
      <c r="H128" s="3">
        <v>178</v>
      </c>
      <c r="I128" t="inlineStr">
        <is>
          <t xml:space="preserve">7mo ago</t>
        </is>
      </c>
      <c r="J128" t="inlineStr">
        <is>
          <t xml:space="preserve">10:30</t>
        </is>
      </c>
      <c r="K128" s="2" t="str">
        <f>HYPERLINK("https://www.youtube.com/watch?v=w3yoPNGll58","https://www.youtube.com/watch?v=w3yoPNGll58")</f>
        <v>https://www.youtube.com/watch?v=w3yoPNGll58</v>
      </c>
      <c r="L128" t="inlineStr">
        <is>
          <t xml:space="preserve">Preparing for the Microsoft Power Automate RPA Developer (PL-500) exam? This video gives you 10 real-style practice questions ...</t>
        </is>
      </c>
      <c r="M128" t="inlineStr">
        <is>
          <t xml:space="preserve">PL-500 power automate RPA developer</t>
        </is>
      </c>
    </row>
    <row r="129">
      <c r="A129" s="3">
        <v>128</v>
      </c>
      <c r="B129" t="inlineStr">
        <is>
          <t xml:space="preserve">Video</t>
        </is>
      </c>
      <c r="C129" t="inlineStr">
        <is>
          <t xml:space="preserve">English</t>
        </is>
      </c>
      <c r="D129" t="inlineStr">
        <is>
          <t xml:space="preserve">Certification</t>
        </is>
      </c>
      <c r="E129" t="inlineStr">
        <is>
          <t xml:space="preserve"/>
        </is>
      </c>
      <c r="F129" t="inlineStr">
        <is>
          <t xml:space="preserve">Latest Exam Prep - Microsoft PL-900 Power Platform Fundamentals - Getting Started</t>
        </is>
      </c>
      <c r="G129" t="inlineStr">
        <is>
          <t xml:space="preserve">TechElevate MD</t>
        </is>
      </c>
      <c r="H129" s="3">
        <v>141</v>
      </c>
      <c r="I129" t="inlineStr">
        <is>
          <t xml:space="preserve">8mo ago</t>
        </is>
      </c>
      <c r="J129" t="inlineStr">
        <is>
          <t xml:space="preserve">6:17</t>
        </is>
      </c>
      <c r="K129" s="2" t="str">
        <f>HYPERLINK("https://www.youtube.com/watch?v=d-_LmmPBWUQ","https://www.youtube.com/watch?v=d-_LmmPBWUQ")</f>
        <v>https://www.youtube.com/watch?v=d-_LmmPBWUQ</v>
      </c>
      <c r="L129" t="inlineStr">
        <is>
          <t xml:space="preserve">This beginner-friendly video introduces the core concepts you need to understand before taking the PL-900 certification exam.</t>
        </is>
      </c>
      <c r="M129" t="inlineStr">
        <is>
          <t xml:space="preserve">PL-900 power platform</t>
        </is>
      </c>
    </row>
    <row r="130">
      <c r="A130" s="3">
        <v>129</v>
      </c>
      <c r="B130" t="inlineStr">
        <is>
          <t xml:space="preserve">Video</t>
        </is>
      </c>
      <c r="C130" t="inlineStr">
        <is>
          <t xml:space="preserve">English</t>
        </is>
      </c>
      <c r="D130" t="inlineStr">
        <is>
          <t xml:space="preserve">Certification</t>
        </is>
      </c>
      <c r="E130" t="inlineStr">
        <is>
          <t xml:space="preserve">Desktop/RPA</t>
        </is>
      </c>
      <c r="F130" t="inlineStr">
        <is>
          <t xml:space="preserve">PL-500 Certification Exam - Master RPA with Power Automate</t>
        </is>
      </c>
      <c r="G130" t="inlineStr">
        <is>
          <t xml:space="preserve">ExamsEmpire</t>
        </is>
      </c>
      <c r="H130" s="3">
        <v>80</v>
      </c>
      <c r="I130" t="inlineStr">
        <is>
          <t xml:space="preserve">1y ago</t>
        </is>
      </c>
      <c r="J130" t="inlineStr">
        <is>
          <t xml:space="preserve">1:02</t>
        </is>
      </c>
      <c r="K130" s="2" t="str">
        <f>HYPERLINK("https://www.youtube.com/watch?v=21uNw_b9YNQ","https://www.youtube.com/watch?v=21uNw_b9YNQ")</f>
        <v>https://www.youtube.com/watch?v=21uNw_b9YNQ</v>
      </c>
      <c r="L130" t="inlineStr">
        <is>
          <t xml:space="preserve">Join our PL-500 Certification Exam channel for expert tips, study guides, and practice resources to help you master robotic ...</t>
        </is>
      </c>
      <c r="M130" t="inlineStr">
        <is>
          <t xml:space="preserve">PL-500 power automate RPA developer</t>
        </is>
      </c>
    </row>
    <row r="131">
      <c r="A131" s="3">
        <v>130</v>
      </c>
      <c r="B131" t="inlineStr">
        <is>
          <t xml:space="preserve">Video</t>
        </is>
      </c>
      <c r="C131" t="inlineStr">
        <is>
          <t xml:space="preserve">English</t>
        </is>
      </c>
      <c r="D131" t="inlineStr">
        <is>
          <t xml:space="preserve">Certification</t>
        </is>
      </c>
      <c r="E131" t="inlineStr">
        <is>
          <t xml:space="preserve">Desktop/RPA</t>
        </is>
      </c>
      <c r="F131" t="inlineStr">
        <is>
          <t xml:space="preserve">PL-500 Exam Readiness for Power Automate RPA Professionals</t>
        </is>
      </c>
      <c r="G131" t="inlineStr">
        <is>
          <t xml:space="preserve">Koenig Solutions</t>
        </is>
      </c>
      <c r="H131" s="3">
        <v>79</v>
      </c>
      <c r="I131" t="inlineStr">
        <is>
          <t xml:space="preserve">Streamed 4mo ago</t>
        </is>
      </c>
      <c r="J131" t="inlineStr">
        <is>
          <t xml:space="preserve">1:16:51</t>
        </is>
      </c>
      <c r="K131" s="2" t="str">
        <f>HYPERLINK("https://www.youtube.com/watch?v=WIM4CC7T9Ts","https://www.youtube.com/watch?v=WIM4CC7T9Ts")</f>
        <v>https://www.youtube.com/watch?v=WIM4CC7T9Ts</v>
      </c>
      <c r="L131" t="inlineStr">
        <is>
          <t xml:space="preserve">PL-500 Exam Readiness for Power Automate RPA Professionals May 20 · 11 PM IST – Set Reminder ▶️ Robotic Process ...</t>
        </is>
      </c>
      <c r="M131" t="inlineStr">
        <is>
          <t xml:space="preserve">PL-500 power automate RPA developer</t>
        </is>
      </c>
    </row>
    <row r="132">
      <c r="A132" s="3">
        <v>131</v>
      </c>
      <c r="B132" t="inlineStr">
        <is>
          <t xml:space="preserve">Video</t>
        </is>
      </c>
      <c r="C132" t="inlineStr">
        <is>
          <t xml:space="preserve">English</t>
        </is>
      </c>
      <c r="D132" t="inlineStr">
        <is>
          <t xml:space="preserve">Certification</t>
        </is>
      </c>
      <c r="E132" t="inlineStr">
        <is>
          <t xml:space="preserve">Desktop/RPA</t>
        </is>
      </c>
      <c r="F132" t="inlineStr">
        <is>
          <t xml:space="preserve">PL 500T00 Microsoft Power Automate RPA Developer</t>
        </is>
      </c>
      <c r="G132" t="inlineStr">
        <is>
          <t xml:space="preserve">Esamatic srl</t>
        </is>
      </c>
      <c r="H132" s="3">
        <v>41</v>
      </c>
      <c r="I132" t="inlineStr">
        <is>
          <t xml:space="preserve">2y ago</t>
        </is>
      </c>
      <c r="J132" t="inlineStr">
        <is>
          <t xml:space="preserve">0:51</t>
        </is>
      </c>
      <c r="K132" s="2" t="str">
        <f>HYPERLINK("https://www.youtube.com/watch?v=pZ7z3jhjuKA","https://www.youtube.com/watch?v=pZ7z3jhjuKA")</f>
        <v>https://www.youtube.com/watch?v=pZ7z3jhjuKA</v>
      </c>
      <c r="L132" t="inlineStr">
        <is>
          <t xml:space="preserve">Unlock the Power of Automation with PL-500T00: Microsoft Power Automate RPA Developer Are you ready to supercharge ...</t>
        </is>
      </c>
      <c r="M132" t="inlineStr">
        <is>
          <t xml:space="preserve">PL-500 power automate RPA developer</t>
        </is>
      </c>
    </row>
    <row r="133">
      <c r="A133" s="3">
        <v>132</v>
      </c>
      <c r="B133" t="inlineStr">
        <is>
          <t xml:space="preserve">Video</t>
        </is>
      </c>
      <c r="C133" t="inlineStr">
        <is>
          <t xml:space="preserve">English</t>
        </is>
      </c>
      <c r="D133" t="inlineStr">
        <is>
          <t xml:space="preserve">Interview prep</t>
        </is>
      </c>
      <c r="E133" t="inlineStr">
        <is>
          <t xml:space="preserve"/>
        </is>
      </c>
      <c r="F133" t="inlineStr">
        <is>
          <t xml:space="preserve">Power Automate Interview Questions And Answers 2025 | MS Power Automate Interview Questions</t>
        </is>
      </c>
      <c r="G133" t="inlineStr">
        <is>
          <t xml:space="preserve">MindMajix</t>
        </is>
      </c>
      <c r="H133" s="3">
        <v>23276</v>
      </c>
      <c r="I133" t="inlineStr">
        <is>
          <t xml:space="preserve">4y ago</t>
        </is>
      </c>
      <c r="J133" t="inlineStr">
        <is>
          <t xml:space="preserve">21:19</t>
        </is>
      </c>
      <c r="K133" s="2" t="str">
        <f>HYPERLINK("https://www.youtube.com/watch?v=Hv5yqRTIkCI","https://www.youtube.com/watch?v=Hv5yqRTIkCI")</f>
        <v>https://www.youtube.com/watch?v=Hv5yqRTIkCI</v>
      </c>
      <c r="L133" t="inlineStr">
        <is>
          <t xml:space="preserve">This MindMajix video on Power Automate Interview Questions and Answers video includes all the frequently asked Interview ...</t>
        </is>
      </c>
      <c r="M133" t="inlineStr">
        <is>
          <t xml:space="preserve">power automate interview questions</t>
        </is>
      </c>
    </row>
    <row r="134">
      <c r="A134" s="3">
        <v>133</v>
      </c>
      <c r="B134" t="inlineStr">
        <is>
          <t xml:space="preserve">Video</t>
        </is>
      </c>
      <c r="C134" t="inlineStr">
        <is>
          <t xml:space="preserve">English</t>
        </is>
      </c>
      <c r="D134" t="inlineStr">
        <is>
          <t xml:space="preserve">Interview prep</t>
        </is>
      </c>
      <c r="E134" t="inlineStr">
        <is>
          <t xml:space="preserve"/>
        </is>
      </c>
      <c r="F134" t="inlineStr">
        <is>
          <t xml:space="preserve">Top 20 Middle Power Automate interview questions</t>
        </is>
      </c>
      <c r="G134" t="inlineStr">
        <is>
          <t xml:space="preserve">Less Code Hub</t>
        </is>
      </c>
      <c r="H134" s="3">
        <v>8568</v>
      </c>
      <c r="I134" t="inlineStr">
        <is>
          <t xml:space="preserve">3y ago</t>
        </is>
      </c>
      <c r="J134" t="inlineStr">
        <is>
          <t xml:space="preserve">8:11</t>
        </is>
      </c>
      <c r="K134" s="2" t="str">
        <f>HYPERLINK("https://www.youtube.com/watch?v=c8Ox5FR7lDs","https://www.youtube.com/watch?v=c8Ox5FR7lDs")</f>
        <v>https://www.youtube.com/watch?v=c8Ox5FR7lDs</v>
      </c>
      <c r="L134" t="inlineStr">
        <is>
          <t xml:space="preserve">1. How can I use Power Automate to integrate with an API? 2. How can I set up a flow to trigger based on a specific value in a ...</t>
        </is>
      </c>
      <c r="M134" t="inlineStr">
        <is>
          <t xml:space="preserve">power automate interview questions</t>
        </is>
      </c>
    </row>
    <row r="135">
      <c r="A135" s="3">
        <v>134</v>
      </c>
      <c r="B135" t="inlineStr">
        <is>
          <t xml:space="preserve">Video</t>
        </is>
      </c>
      <c r="C135" t="inlineStr">
        <is>
          <t xml:space="preserve">English</t>
        </is>
      </c>
      <c r="D135" t="inlineStr">
        <is>
          <t xml:space="preserve">Interview prep</t>
        </is>
      </c>
      <c r="E135" t="inlineStr">
        <is>
          <t xml:space="preserve"/>
        </is>
      </c>
      <c r="F135" t="inlineStr">
        <is>
          <t xml:space="preserve">Power Automate Interview Questions</t>
        </is>
      </c>
      <c r="G135" t="inlineStr">
        <is>
          <t xml:space="preserve">Ravindra Jadhav</t>
        </is>
      </c>
      <c r="H135" s="3">
        <v>6237</v>
      </c>
      <c r="I135" t="inlineStr">
        <is>
          <t xml:space="preserve">2y ago</t>
        </is>
      </c>
      <c r="J135" t="inlineStr">
        <is>
          <t xml:space="preserve">8:31</t>
        </is>
      </c>
      <c r="K135" s="2" t="str">
        <f>HYPERLINK("https://www.youtube.com/watch?v=K8iGMIeMVqQ","https://www.youtube.com/watch?v=K8iGMIeMVqQ")</f>
        <v>https://www.youtube.com/watch?v=K8iGMIeMVqQ</v>
      </c>
      <c r="L135" t="inlineStr">
        <is>
          <t xml:space="preserve">Top Power Automate Interview Questions and Answers Power Automate Interview Prep: Essential Questions and Tips Ace Your ...</t>
        </is>
      </c>
      <c r="M135" t="inlineStr">
        <is>
          <t xml:space="preserve">power automate interview questions</t>
        </is>
      </c>
    </row>
    <row r="136">
      <c r="A136" s="3">
        <v>135</v>
      </c>
      <c r="B136" t="inlineStr">
        <is>
          <t xml:space="preserve">Video</t>
        </is>
      </c>
      <c r="C136" t="inlineStr">
        <is>
          <t xml:space="preserve">English</t>
        </is>
      </c>
      <c r="D136" t="inlineStr">
        <is>
          <t xml:space="preserve">Interview prep</t>
        </is>
      </c>
      <c r="E136" t="inlineStr">
        <is>
          <t xml:space="preserve">Cloud flows</t>
        </is>
      </c>
      <c r="F136" t="inlineStr">
        <is>
          <t xml:space="preserve">Power Automate Cloud Interview Questions 2025</t>
        </is>
      </c>
      <c r="G136" t="inlineStr">
        <is>
          <t xml:space="preserve">Ravindra Jadhav</t>
        </is>
      </c>
      <c r="H136" s="3">
        <v>6153</v>
      </c>
      <c r="I136" t="inlineStr">
        <is>
          <t xml:space="preserve">1y ago</t>
        </is>
      </c>
      <c r="J136" t="inlineStr">
        <is>
          <t xml:space="preserve">10:46</t>
        </is>
      </c>
      <c r="K136" s="2" t="str">
        <f>HYPERLINK("https://www.youtube.com/watch?v=21gYGKw_7lc","https://www.youtube.com/watch?v=21gYGKw_7lc")</f>
        <v>https://www.youtube.com/watch?v=21gYGKw_7lc</v>
      </c>
      <c r="L136" t="inlineStr">
        <is>
          <t xml:space="preserve">Power Automate Cloud Interview Questions 2025 1. What is Power Automate? 2. What are the main types of flows in Power ...</t>
        </is>
      </c>
      <c r="M136" t="inlineStr">
        <is>
          <t xml:space="preserve">power automate interview questions</t>
        </is>
      </c>
    </row>
    <row r="137">
      <c r="A137" s="3">
        <v>136</v>
      </c>
      <c r="B137" t="inlineStr">
        <is>
          <t xml:space="preserve">Video</t>
        </is>
      </c>
      <c r="C137" t="inlineStr">
        <is>
          <t xml:space="preserve">English</t>
        </is>
      </c>
      <c r="D137" t="inlineStr">
        <is>
          <t xml:space="preserve">Interview prep</t>
        </is>
      </c>
      <c r="E137" t="inlineStr">
        <is>
          <t xml:space="preserve"/>
        </is>
      </c>
      <c r="F137" t="inlineStr">
        <is>
          <t xml:space="preserve">Crack Your Next Power Automate Interview | 100+ Power Automate Interview Questions (2026) | CoyLix</t>
        </is>
      </c>
      <c r="G137" t="inlineStr">
        <is>
          <t xml:space="preserve">CoyLix</t>
        </is>
      </c>
      <c r="H137" s="3">
        <v>5033</v>
      </c>
      <c r="I137" t="inlineStr">
        <is>
          <t xml:space="preserve">3mo ago</t>
        </is>
      </c>
      <c r="J137" t="inlineStr">
        <is>
          <t xml:space="preserve">1:32:20</t>
        </is>
      </c>
      <c r="K137" s="2" t="str">
        <f>HYPERLINK("https://www.youtube.com/watch?v=O8eP9HSABN0","https://www.youtube.com/watch?v=O8eP9HSABN0")</f>
        <v>https://www.youtube.com/watch?v=O8eP9HSABN0</v>
      </c>
      <c r="L137" t="inlineStr">
        <is>
          <t xml:space="preserve">100+ Power Automate Interview Questions and Answers | Complete Power Automate Interview Preparation Preparing for a Power ...</t>
        </is>
      </c>
      <c r="M137" t="inlineStr">
        <is>
          <t xml:space="preserve">power automate interview questions</t>
        </is>
      </c>
    </row>
    <row r="138">
      <c r="A138" s="3">
        <v>137</v>
      </c>
      <c r="B138" t="inlineStr">
        <is>
          <t xml:space="preserve">Video</t>
        </is>
      </c>
      <c r="C138" t="inlineStr">
        <is>
          <t xml:space="preserve">English</t>
        </is>
      </c>
      <c r="D138" t="inlineStr">
        <is>
          <t xml:space="preserve">Interview prep</t>
        </is>
      </c>
      <c r="E138" t="inlineStr">
        <is>
          <t xml:space="preserve">Power Apps</t>
        </is>
      </c>
      <c r="F138" t="inlineStr">
        <is>
          <t xml:space="preserve">Only 5% of People Can Answer These Power Automate Interview Questions!</t>
        </is>
      </c>
      <c r="G138" t="inlineStr">
        <is>
          <t xml:space="preserve">CoyLix</t>
        </is>
      </c>
      <c r="H138" s="3">
        <v>2636</v>
      </c>
      <c r="I138" t="inlineStr">
        <is>
          <t xml:space="preserve">11mo ago</t>
        </is>
      </c>
      <c r="J138" t="inlineStr">
        <is>
          <t xml:space="preserve">12:23</t>
        </is>
      </c>
      <c r="K138" s="2" t="str">
        <f>HYPERLINK("https://www.youtube.com/watch?v=n2HHrTwCajU","https://www.youtube.com/watch?v=n2HHrTwCajU")</f>
        <v>https://www.youtube.com/watch?v=n2HHrTwCajU</v>
      </c>
      <c r="L138" t="inlineStr">
        <is>
          <t xml:space="preserve">Prepare with 250+ Power Platform interview questions covering Power Apps and Power Automate.</t>
        </is>
      </c>
      <c r="M138" t="inlineStr">
        <is>
          <t xml:space="preserve">power automate interview questions</t>
        </is>
      </c>
    </row>
    <row r="139">
      <c r="A139" s="3">
        <v>138</v>
      </c>
      <c r="B139" t="inlineStr">
        <is>
          <t xml:space="preserve">Video</t>
        </is>
      </c>
      <c r="C139" t="inlineStr">
        <is>
          <t xml:space="preserve">English</t>
        </is>
      </c>
      <c r="D139" t="inlineStr">
        <is>
          <t xml:space="preserve">Interview prep</t>
        </is>
      </c>
      <c r="E139" t="inlineStr">
        <is>
          <t xml:space="preserve">Desktop/RPA</t>
        </is>
      </c>
      <c r="F139" t="inlineStr">
        <is>
          <t xml:space="preserve">Power Automate Interview Questions Part1 | Power Automate most asked Question for interviews.</t>
        </is>
      </c>
      <c r="G139" t="inlineStr">
        <is>
          <t xml:space="preserve">IAA - intelligent Advance Automations</t>
        </is>
      </c>
      <c r="H139" s="3">
        <v>2153</v>
      </c>
      <c r="I139" t="inlineStr">
        <is>
          <t xml:space="preserve">2y ago</t>
        </is>
      </c>
      <c r="J139" t="inlineStr">
        <is>
          <t xml:space="preserve">8:31</t>
        </is>
      </c>
      <c r="K139" s="2" t="str">
        <f>HYPERLINK("https://www.youtube.com/watch?v=_e4h7yiDuog","https://www.youtube.com/watch?v=_e4h7yiDuog")</f>
        <v>https://www.youtube.com/watch?v=_e4h7yiDuog</v>
      </c>
      <c r="L139" t="inlineStr">
        <is>
          <t xml:space="preserve">In this video we will see the question asked in interview for power automate. #cognizantjob #powerautomatedesktop #rpa ...</t>
        </is>
      </c>
      <c r="M139" t="inlineStr">
        <is>
          <t xml:space="preserve">power automate interview questions</t>
        </is>
      </c>
    </row>
    <row r="140">
      <c r="A140" s="3">
        <v>139</v>
      </c>
      <c r="B140" t="inlineStr">
        <is>
          <t xml:space="preserve">Video</t>
        </is>
      </c>
      <c r="C140" t="inlineStr">
        <is>
          <t xml:space="preserve">English</t>
        </is>
      </c>
      <c r="D140" t="inlineStr">
        <is>
          <t xml:space="preserve">Interview prep</t>
        </is>
      </c>
      <c r="E140" t="inlineStr">
        <is>
          <t xml:space="preserve">Power Apps</t>
        </is>
      </c>
      <c r="F140" t="inlineStr">
        <is>
          <t xml:space="preserve">Power Automate Interview Questions | Interview Questions Preparation for Power Automate.</t>
        </is>
      </c>
      <c r="G140" t="inlineStr">
        <is>
          <t xml:space="preserve">IAA - intelligent Advance Automations</t>
        </is>
      </c>
      <c r="H140" s="3">
        <v>2090</v>
      </c>
      <c r="I140" t="inlineStr">
        <is>
          <t xml:space="preserve">1y ago</t>
        </is>
      </c>
      <c r="J140" t="inlineStr">
        <is>
          <t xml:space="preserve">29:14</t>
        </is>
      </c>
      <c r="K140" s="2" t="str">
        <f>HYPERLINK("https://www.youtube.com/watch?v=I6bN327vs60","https://www.youtube.com/watch?v=I6bN327vs60")</f>
        <v>https://www.youtube.com/watch?v=I6bN327vs60</v>
      </c>
      <c r="L140" t="inlineStr">
        <is>
          <t xml:space="preserve">In this video we will see the recently asked interview questions related to power automate, power apps and power queries. 18:46 ...</t>
        </is>
      </c>
      <c r="M140" t="inlineStr">
        <is>
          <t xml:space="preserve">power automate interview questions</t>
        </is>
      </c>
    </row>
    <row r="141">
      <c r="A141" s="3">
        <v>140</v>
      </c>
      <c r="B141" t="inlineStr">
        <is>
          <t xml:space="preserve">Video</t>
        </is>
      </c>
      <c r="C141" t="inlineStr">
        <is>
          <t xml:space="preserve">English</t>
        </is>
      </c>
      <c r="D141" t="inlineStr">
        <is>
          <t xml:space="preserve">Interview prep</t>
        </is>
      </c>
      <c r="E141" t="inlineStr">
        <is>
          <t xml:space="preserve"/>
        </is>
      </c>
      <c r="F141" t="inlineStr">
        <is>
          <t xml:space="preserve">Can You Answer These 5 Power Automate Interview Questions (2025 Edition)?</t>
        </is>
      </c>
      <c r="G141" t="inlineStr">
        <is>
          <t xml:space="preserve">CoyLix</t>
        </is>
      </c>
      <c r="H141" s="3">
        <v>1891</v>
      </c>
      <c r="I141" t="inlineStr">
        <is>
          <t xml:space="preserve">11mo ago</t>
        </is>
      </c>
      <c r="J141" t="inlineStr">
        <is>
          <t xml:space="preserve">7:30</t>
        </is>
      </c>
      <c r="K141" s="2" t="str">
        <f>HYPERLINK("https://www.youtube.com/watch?v=-isFgaOotf4","https://www.youtube.com/watch?v=-isFgaOotf4")</f>
        <v>https://www.youtube.com/watch?v=-isFgaOotf4</v>
      </c>
      <c r="L141" t="inlineStr">
        <is>
          <t xml:space="preserve">Ace Your Power Automate Interview ...</t>
        </is>
      </c>
      <c r="M141" t="inlineStr">
        <is>
          <t xml:space="preserve">power automate interview questions</t>
        </is>
      </c>
    </row>
    <row r="142">
      <c r="A142" s="3">
        <v>141</v>
      </c>
      <c r="B142" t="inlineStr">
        <is>
          <t xml:space="preserve">Video</t>
        </is>
      </c>
      <c r="C142" t="inlineStr">
        <is>
          <t xml:space="preserve">English</t>
        </is>
      </c>
      <c r="D142" t="inlineStr">
        <is>
          <t xml:space="preserve">Interview prep</t>
        </is>
      </c>
      <c r="E142" t="inlineStr">
        <is>
          <t xml:space="preserve">Desktop/RPA, Cloud flows</t>
        </is>
      </c>
      <c r="F142" t="inlineStr">
        <is>
          <t xml:space="preserve">Power Automate Interview Question and Answers Updated 2026. #powerautomate  #rpa</t>
        </is>
      </c>
      <c r="G142" t="inlineStr">
        <is>
          <t xml:space="preserve">IAA - intelligent Advance Automations</t>
        </is>
      </c>
      <c r="H142" s="3">
        <v>1770</v>
      </c>
      <c r="I142" t="inlineStr">
        <is>
          <t xml:space="preserve">7mo ago</t>
        </is>
      </c>
      <c r="J142" t="inlineStr">
        <is>
          <t xml:space="preserve">37:46</t>
        </is>
      </c>
      <c r="K142" s="2" t="str">
        <f>HYPERLINK("https://www.youtube.com/watch?v=7yp0vp-YV5M","https://www.youtube.com/watch?v=7yp0vp-YV5M")</f>
        <v>https://www.youtube.com/watch?v=7yp0vp-YV5M</v>
      </c>
      <c r="L142" t="inlineStr">
        <is>
          <t xml:space="preserve">In this video we will see mostly and recently asked interview question for power automate cloud and desktop. Links Machine ...</t>
        </is>
      </c>
      <c r="M142" t="inlineStr">
        <is>
          <t xml:space="preserve">power automate interview questions</t>
        </is>
      </c>
    </row>
    <row r="143">
      <c r="A143" s="3">
        <v>142</v>
      </c>
      <c r="B143" t="inlineStr">
        <is>
          <t xml:space="preserve">Video</t>
        </is>
      </c>
      <c r="C143" t="inlineStr">
        <is>
          <t xml:space="preserve">English</t>
        </is>
      </c>
      <c r="D143" t="inlineStr">
        <is>
          <t xml:space="preserve">Interview prep</t>
        </is>
      </c>
      <c r="E143" t="inlineStr">
        <is>
          <t xml:space="preserve"/>
        </is>
      </c>
      <c r="F143" t="inlineStr">
        <is>
          <t xml:space="preserve">Top 5 Senior Power Automate interview questions</t>
        </is>
      </c>
      <c r="G143" t="inlineStr">
        <is>
          <t xml:space="preserve">Less Code Hub</t>
        </is>
      </c>
      <c r="H143" s="3">
        <v>1655</v>
      </c>
      <c r="I143" t="inlineStr">
        <is>
          <t xml:space="preserve">3y ago</t>
        </is>
      </c>
      <c r="J143" t="inlineStr">
        <is>
          <t xml:space="preserve">2:41</t>
        </is>
      </c>
      <c r="K143" s="2" t="str">
        <f>HYPERLINK("https://www.youtube.com/watch?v=zVtylJFOIkM","https://www.youtube.com/watch?v=zVtylJFOIkM")</f>
        <v>https://www.youtube.com/watch?v=zVtylJFOIkM</v>
      </c>
      <c r="L143" t="inlineStr">
        <is>
          <t xml:space="preserve">1. How can I use Power Automate to create a flow that can handle multiple parallel flows and coordinate their actions? 2. How can ...</t>
        </is>
      </c>
      <c r="M143" t="inlineStr">
        <is>
          <t xml:space="preserve">power automate interview questions</t>
        </is>
      </c>
    </row>
    <row r="144">
      <c r="A144" s="3">
        <v>143</v>
      </c>
      <c r="B144" t="inlineStr">
        <is>
          <t xml:space="preserve">Video</t>
        </is>
      </c>
      <c r="C144" t="inlineStr">
        <is>
          <t xml:space="preserve">English</t>
        </is>
      </c>
      <c r="D144" t="inlineStr">
        <is>
          <t xml:space="preserve">Interview prep</t>
        </is>
      </c>
      <c r="E144" t="inlineStr">
        <is>
          <t xml:space="preserve"/>
        </is>
      </c>
      <c r="F144" t="inlineStr">
        <is>
          <t xml:space="preserve">🚀 POWER AUTOMATE Interview Questions 2025 - Ace Your Next Tech Job! (Complete Guide)</t>
        </is>
      </c>
      <c r="G144" t="inlineStr">
        <is>
          <t xml:space="preserve">Ashok Babu Kandula</t>
        </is>
      </c>
      <c r="H144" s="3">
        <v>1169</v>
      </c>
      <c r="I144" t="inlineStr">
        <is>
          <t xml:space="preserve">1y ago</t>
        </is>
      </c>
      <c r="J144" t="inlineStr">
        <is>
          <t xml:space="preserve">8:41</t>
        </is>
      </c>
      <c r="K144" s="2" t="str">
        <f>HYPERLINK("https://www.youtube.com/watch?v=8PVILemTiFM","https://www.youtube.com/watch?v=8PVILemTiFM")</f>
        <v>https://www.youtube.com/watch?v=8PVILemTiFM</v>
      </c>
      <c r="L144" t="inlineStr">
        <is>
          <t xml:space="preserve">Ready to land your dream Power Automate job? This comprehensive guide covers the top interview questions and expert ...</t>
        </is>
      </c>
      <c r="M144" t="inlineStr">
        <is>
          <t xml:space="preserve">power automate interview questions</t>
        </is>
      </c>
    </row>
    <row r="145">
      <c r="A145" s="3">
        <v>144</v>
      </c>
      <c r="B145" t="inlineStr">
        <is>
          <t xml:space="preserve">Video</t>
        </is>
      </c>
      <c r="C145" t="inlineStr">
        <is>
          <t xml:space="preserve">English</t>
        </is>
      </c>
      <c r="D145" t="inlineStr">
        <is>
          <t xml:space="preserve">Interview prep</t>
        </is>
      </c>
      <c r="E145" t="inlineStr">
        <is>
          <t xml:space="preserve"/>
        </is>
      </c>
      <c r="F145" t="inlineStr">
        <is>
          <t xml:space="preserve">Only 5% Score 15/15 | Power Automate Interview Questions &amp; Answers | CoyLix</t>
        </is>
      </c>
      <c r="G145" t="inlineStr">
        <is>
          <t xml:space="preserve">CoyLix</t>
        </is>
      </c>
      <c r="H145" s="3">
        <v>476</v>
      </c>
      <c r="I145" t="inlineStr">
        <is>
          <t xml:space="preserve">3mo ago</t>
        </is>
      </c>
      <c r="J145" t="inlineStr">
        <is>
          <t xml:space="preserve">10:06</t>
        </is>
      </c>
      <c r="K145" s="2" t="str">
        <f>HYPERLINK("https://www.youtube.com/watch?v=TAO49Ixlfr4","https://www.youtube.com/watch?v=TAO49Ixlfr4")</f>
        <v>https://www.youtube.com/watch?v=TAO49Ixlfr4</v>
      </c>
      <c r="L145" t="inlineStr">
        <is>
          <t xml:space="preserve">Crack Your Next Power Platform Interview ...</t>
        </is>
      </c>
      <c r="M145" t="inlineStr">
        <is>
          <t xml:space="preserve">power automate interview questions</t>
        </is>
      </c>
    </row>
    <row r="146">
      <c r="A146" s="3">
        <v>145</v>
      </c>
      <c r="B146" t="inlineStr">
        <is>
          <t xml:space="preserve">Video</t>
        </is>
      </c>
      <c r="C146" t="inlineStr">
        <is>
          <t xml:space="preserve">English</t>
        </is>
      </c>
      <c r="D146" t="inlineStr">
        <is>
          <t xml:space="preserve">Interview prep</t>
        </is>
      </c>
      <c r="E146" t="inlineStr">
        <is>
          <t xml:space="preserve"/>
        </is>
      </c>
      <c r="F146" t="inlineStr">
        <is>
          <t xml:space="preserve">Top Power Automate Interview Questions You Must Know in 2025 | Essential Tips &amp; Answers</t>
        </is>
      </c>
      <c r="G146" t="inlineStr">
        <is>
          <t xml:space="preserve">Tech Beyond Basics</t>
        </is>
      </c>
      <c r="H146" s="3">
        <v>102</v>
      </c>
      <c r="I146" t="inlineStr">
        <is>
          <t xml:space="preserve">1y ago</t>
        </is>
      </c>
      <c r="J146" t="inlineStr">
        <is>
          <t xml:space="preserve">4:28</t>
        </is>
      </c>
      <c r="K146" s="2" t="str">
        <f>HYPERLINK("https://www.youtube.com/watch?v=NfVmDDTdWbc","https://www.youtube.com/watch?v=NfVmDDTdWbc")</f>
        <v>https://www.youtube.com/watch?v=NfVmDDTdWbc</v>
      </c>
      <c r="L146" t="inlineStr">
        <is>
          <t xml:space="preserve">Top Power Automate Interview Questions You Must Know in 2025 | Essential Tips &amp; Answers.</t>
        </is>
      </c>
      <c r="M146" t="inlineStr">
        <is>
          <t xml:space="preserve">power automate interview questions</t>
        </is>
      </c>
    </row>
    <row r="147">
      <c r="A147" s="3">
        <v>146</v>
      </c>
      <c r="B147" t="inlineStr">
        <is>
          <t xml:space="preserve">Video</t>
        </is>
      </c>
      <c r="C147" t="inlineStr">
        <is>
          <t xml:space="preserve">English</t>
        </is>
      </c>
      <c r="D147" t="inlineStr">
        <is>
          <t xml:space="preserve">Interview prep</t>
        </is>
      </c>
      <c r="E147" t="inlineStr">
        <is>
          <t xml:space="preserve"/>
        </is>
      </c>
      <c r="F147" t="inlineStr">
        <is>
          <t xml:space="preserve">🔥Power Automate Base Level Interview Questions &amp; Answers | Beginners | Simple Explanation 🚀</t>
        </is>
      </c>
      <c r="G147" t="inlineStr">
        <is>
          <t xml:space="preserve">Arun Mishra</t>
        </is>
      </c>
      <c r="H147" s="3">
        <v>87</v>
      </c>
      <c r="I147" t="inlineStr">
        <is>
          <t xml:space="preserve">9mo ago</t>
        </is>
      </c>
      <c r="J147" t="inlineStr">
        <is>
          <t xml:space="preserve">4:01</t>
        </is>
      </c>
      <c r="K147" s="2" t="str">
        <f>HYPERLINK("https://www.youtube.com/watch?v=idkR6Y3-mo8","https://www.youtube.com/watch?v=idkR6Y3-mo8")</f>
        <v>https://www.youtube.com/watch?v=idkR6Y3-mo8</v>
      </c>
      <c r="L147" t="inlineStr">
        <is>
          <t xml:space="preserve">Learn the most common Power Automate Base-Level Interview Questions asked in MNCs. This video will help freshers and ...</t>
        </is>
      </c>
      <c r="M147" t="inlineStr">
        <is>
          <t xml:space="preserve">power automate interview questions</t>
        </is>
      </c>
    </row>
    <row r="148">
      <c r="A148" s="3">
        <v>147</v>
      </c>
      <c r="B148" t="inlineStr">
        <is>
          <t xml:space="preserve">Video</t>
        </is>
      </c>
      <c r="C148" t="inlineStr">
        <is>
          <t xml:space="preserve">English</t>
        </is>
      </c>
      <c r="D148" t="inlineStr">
        <is>
          <t xml:space="preserve">Tutorial</t>
        </is>
      </c>
      <c r="E148" t="inlineStr">
        <is>
          <t xml:space="preserve">Desktop/RPA</t>
        </is>
      </c>
      <c r="F148" t="inlineStr">
        <is>
          <t xml:space="preserve">🤖 How to use Microsoft Power Automate Desktop - Full tutorial</t>
        </is>
      </c>
      <c r="G148" t="inlineStr">
        <is>
          <t xml:space="preserve">Kevin Stratvert</t>
        </is>
      </c>
      <c r="H148" s="3">
        <v>1856296</v>
      </c>
      <c r="I148" t="inlineStr">
        <is>
          <t xml:space="preserve">5y ago</t>
        </is>
      </c>
      <c r="J148" t="inlineStr">
        <is>
          <t xml:space="preserve">37:39</t>
        </is>
      </c>
      <c r="K148" s="2" t="str">
        <f>HYPERLINK("https://www.youtube.com/watch?v=IQ_KpBC8fwo","https://www.youtube.com/watch?v=IQ_KpBC8fwo")</f>
        <v>https://www.youtube.com/watch?v=IQ_KpBC8fwo</v>
      </c>
      <c r="L148" t="inlineStr">
        <is>
          <t xml:space="preserve">In this step-by-step tutorial, learn how you can use Microsoft Power Automate Desktop to automate repetitive and mundane tasks.</t>
        </is>
      </c>
      <c r="M148" t="inlineStr">
        <is>
          <t xml:space="preserve">power automate project ; power automate desktop full course ; power automate desktop project ; power automate desktop bangla</t>
        </is>
      </c>
    </row>
    <row r="149">
      <c r="A149" s="3">
        <v>148</v>
      </c>
      <c r="B149" t="inlineStr">
        <is>
          <t xml:space="preserve">Video</t>
        </is>
      </c>
      <c r="C149" t="inlineStr">
        <is>
          <t xml:space="preserve">English</t>
        </is>
      </c>
      <c r="D149" t="inlineStr">
        <is>
          <t xml:space="preserve">Tutorial</t>
        </is>
      </c>
      <c r="E149" t="inlineStr">
        <is>
          <t xml:space="preserve"/>
        </is>
      </c>
      <c r="F149" t="inlineStr">
        <is>
          <t xml:space="preserve">Power Automate Tutorial for Beginners</t>
        </is>
      </c>
      <c r="G149" t="inlineStr">
        <is>
          <t xml:space="preserve">Kevin Stratvert</t>
        </is>
      </c>
      <c r="H149" s="3">
        <v>1766851</v>
      </c>
      <c r="I149" t="inlineStr">
        <is>
          <t xml:space="preserve">6y ago</t>
        </is>
      </c>
      <c r="J149" t="inlineStr">
        <is>
          <t xml:space="preserve">17:23</t>
        </is>
      </c>
      <c r="K149" s="2" t="str">
        <f>HYPERLINK("https://www.youtube.com/watch?v=dDO4Y4aDYXw","https://www.youtube.com/watch?v=dDO4Y4aDYXw")</f>
        <v>https://www.youtube.com/watch?v=dDO4Y4aDYXw</v>
      </c>
      <c r="L149" t="inlineStr">
        <is>
          <t xml:space="preserve">In this step-by-step tutorial, learn how to use Microsoft Power Automate to create automated workflows. Streamline repetitive tasks ...</t>
        </is>
      </c>
      <c r="M149" t="inlineStr">
        <is>
          <t xml:space="preserve">power automate full course ; power automate tutorial for beginners ; power automate project ; power automate cloud flow tutorial ; power automate course ; power automate tutorial playlist ; পাওয়ার অটোমেট</t>
        </is>
      </c>
    </row>
    <row r="150">
      <c r="A150" s="3">
        <v>149</v>
      </c>
      <c r="B150" t="inlineStr">
        <is>
          <t xml:space="preserve">Video</t>
        </is>
      </c>
      <c r="C150" t="inlineStr">
        <is>
          <t xml:space="preserve">English</t>
        </is>
      </c>
      <c r="D150" t="inlineStr">
        <is>
          <t xml:space="preserve">Tutorial</t>
        </is>
      </c>
      <c r="E150" t="inlineStr">
        <is>
          <t xml:space="preserve"/>
        </is>
      </c>
      <c r="F150" t="inlineStr">
        <is>
          <t xml:space="preserve">Microsoft Power Automate for Beginners: Start Automating Today!</t>
        </is>
      </c>
      <c r="G150" t="inlineStr">
        <is>
          <t xml:space="preserve">Teacher's Tech</t>
        </is>
      </c>
      <c r="H150" s="3">
        <v>1138934</v>
      </c>
      <c r="I150" t="inlineStr">
        <is>
          <t xml:space="preserve">2y ago</t>
        </is>
      </c>
      <c r="J150" t="inlineStr">
        <is>
          <t xml:space="preserve">16:55</t>
        </is>
      </c>
      <c r="K150" s="2" t="str">
        <f>HYPERLINK("https://www.youtube.com/watch?v=f1lTMzWygTA","https://www.youtube.com/watch?v=f1lTMzWygTA")</f>
        <v>https://www.youtube.com/watch?v=f1lTMzWygTA</v>
      </c>
      <c r="L150" t="inlineStr">
        <is>
          <t xml:space="preserve">Welcome to our beginner's guide on how to use Microsoft Power Automate! In this tutorial, you'll learn the fundamentals of ...</t>
        </is>
      </c>
      <c r="M150" t="inlineStr">
        <is>
          <t xml:space="preserve">power automate full course ; power automate tutorial for beginners ; power automate project ; power automate real world project ; power automate desktop full course ; power automate cloud flow tutorial ; power automate sharepoint automation ; power automate excel automation ; power automate copilot ; power automate advanced tutorial ; power apps power automate project ; power automate course ; power automate tutorial playlist ; power automate project hindi ; power automate tutorial bangla ; power automate bangla ; power automate desktop bangla ; microsoft power automate bangla tutorial ; পাওয়ার অটোমেট</t>
        </is>
      </c>
    </row>
    <row r="151">
      <c r="A151" s="3">
        <v>150</v>
      </c>
      <c r="B151" t="inlineStr">
        <is>
          <t xml:space="preserve">Video</t>
        </is>
      </c>
      <c r="C151" t="inlineStr">
        <is>
          <t xml:space="preserve">English</t>
        </is>
      </c>
      <c r="D151" t="inlineStr">
        <is>
          <t xml:space="preserve">Tutorial</t>
        </is>
      </c>
      <c r="E151" t="inlineStr">
        <is>
          <t xml:space="preserve">AI/Copilot</t>
        </is>
      </c>
      <c r="F151" t="inlineStr">
        <is>
          <t xml:space="preserve">NEW Copilot Workflows Agent Will Automate Your Job (Full Tutorial)</t>
        </is>
      </c>
      <c r="G151" t="inlineStr">
        <is>
          <t xml:space="preserve">Collaboration Simplified</t>
        </is>
      </c>
      <c r="H151" s="3">
        <v>726356</v>
      </c>
      <c r="I151" t="inlineStr">
        <is>
          <t xml:space="preserve">10mo ago</t>
        </is>
      </c>
      <c r="J151" t="inlineStr">
        <is>
          <t xml:space="preserve">10:11</t>
        </is>
      </c>
      <c r="K151" s="2" t="str">
        <f>HYPERLINK("https://www.youtube.com/watch?v=_w-jVw8Uhc0","https://www.youtube.com/watch?v=_w-jVw8Uhc0")</f>
        <v>https://www.youtube.com/watch?v=_w-jVw8Uhc0</v>
      </c>
      <c r="L151" t="inlineStr">
        <is>
          <t xml:space="preserve">Learn how to use the new Copilot Workflows Agent in Microsoft 365 Copilot with this clear, step-by-step tutorial. Join Shervin ...</t>
        </is>
      </c>
      <c r="M151" t="inlineStr">
        <is>
          <t xml:space="preserve">power automate copilot</t>
        </is>
      </c>
    </row>
    <row r="152">
      <c r="A152" s="3">
        <v>151</v>
      </c>
      <c r="B152" t="inlineStr">
        <is>
          <t xml:space="preserve">Video</t>
        </is>
      </c>
      <c r="C152" t="inlineStr">
        <is>
          <t xml:space="preserve">English</t>
        </is>
      </c>
      <c r="D152" t="inlineStr">
        <is>
          <t xml:space="preserve">Tutorial</t>
        </is>
      </c>
      <c r="E152" t="inlineStr">
        <is>
          <t xml:space="preserve">Excel, Email/Outlook</t>
        </is>
      </c>
      <c r="F152" t="inlineStr">
        <is>
          <t xml:space="preserve">Microsoft Power Automate | Add data to Excel, get data from Excel, Conditions and Send Email | Guide</t>
        </is>
      </c>
      <c r="G152" t="inlineStr">
        <is>
          <t xml:space="preserve">Anders Jensen</t>
        </is>
      </c>
      <c r="H152" s="3">
        <v>668797</v>
      </c>
      <c r="I152" t="inlineStr">
        <is>
          <t xml:space="preserve">6y ago</t>
        </is>
      </c>
      <c r="J152" t="inlineStr">
        <is>
          <t xml:space="preserve">12:41</t>
        </is>
      </c>
      <c r="K152" s="2" t="str">
        <f>HYPERLINK("https://www.youtube.com/watch?v=kbYGFIo0WGc","https://www.youtube.com/watch?v=kbYGFIo0WGc")</f>
        <v>https://www.youtube.com/watch?v=kbYGFIo0WGc</v>
      </c>
      <c r="L152" t="inlineStr">
        <is>
          <t xml:space="preserve">Adding data to an Excel table with Power Automate, getting the data back from Excel and sending an email when a condition is ...</t>
        </is>
      </c>
      <c r="M152" t="inlineStr">
        <is>
          <t xml:space="preserve">power automate excel automation</t>
        </is>
      </c>
    </row>
    <row r="153">
      <c r="A153" s="3">
        <v>152</v>
      </c>
      <c r="B153" t="inlineStr">
        <is>
          <t xml:space="preserve">Video</t>
        </is>
      </c>
      <c r="C153" t="inlineStr">
        <is>
          <t xml:space="preserve">English</t>
        </is>
      </c>
      <c r="D153" t="inlineStr">
        <is>
          <t xml:space="preserve">Tutorial</t>
        </is>
      </c>
      <c r="E153" t="inlineStr">
        <is>
          <t xml:space="preserve">Excel, Email/Outlook</t>
        </is>
      </c>
      <c r="F153" t="inlineStr">
        <is>
          <t xml:space="preserve">Import Outlook to Excel with Power Automate Tutorial</t>
        </is>
      </c>
      <c r="G153" t="inlineStr">
        <is>
          <t xml:space="preserve">Kevin Stratvert</t>
        </is>
      </c>
      <c r="H153" s="3">
        <v>463055</v>
      </c>
      <c r="I153" t="inlineStr">
        <is>
          <t xml:space="preserve">5y ago</t>
        </is>
      </c>
      <c r="J153" t="inlineStr">
        <is>
          <t xml:space="preserve">13:33</t>
        </is>
      </c>
      <c r="K153" s="2" t="str">
        <f>HYPERLINK("https://www.youtube.com/watch?v=OrCs36S3w3w","https://www.youtube.com/watch?v=OrCs36S3w3w")</f>
        <v>https://www.youtube.com/watch?v=OrCs36S3w3w</v>
      </c>
      <c r="L153" t="inlineStr">
        <is>
          <t xml:space="preserve">Learn Excel in just 2 hours: https://kevinstratvert.thinkific.com In this step-by-step tutorial, learn how to import email from either ...</t>
        </is>
      </c>
      <c r="M153" t="inlineStr">
        <is>
          <t xml:space="preserve">power automate email automation outlook</t>
        </is>
      </c>
    </row>
    <row r="154">
      <c r="A154" s="3">
        <v>153</v>
      </c>
      <c r="B154" t="inlineStr">
        <is>
          <t xml:space="preserve">Video</t>
        </is>
      </c>
      <c r="C154" t="inlineStr">
        <is>
          <t xml:space="preserve">English</t>
        </is>
      </c>
      <c r="D154" t="inlineStr">
        <is>
          <t xml:space="preserve">Tutorial</t>
        </is>
      </c>
      <c r="E154" t="inlineStr">
        <is>
          <t xml:space="preserve">SharePoint, Approvals</t>
        </is>
      </c>
      <c r="F154" t="inlineStr">
        <is>
          <t xml:space="preserve">Create Simple Document Approval Flows using Power Automate &amp; SharePoint</t>
        </is>
      </c>
      <c r="G154" t="inlineStr">
        <is>
          <t xml:space="preserve">Competitive Computing Consultants Inc.</t>
        </is>
      </c>
      <c r="H154" s="3">
        <v>324749</v>
      </c>
      <c r="I154" t="inlineStr">
        <is>
          <t xml:space="preserve">6y ago</t>
        </is>
      </c>
      <c r="J154" t="inlineStr">
        <is>
          <t xml:space="preserve">13:53</t>
        </is>
      </c>
      <c r="K154" s="2" t="str">
        <f>HYPERLINK("https://www.youtube.com/watch?v=ruu7UJE0KPk","https://www.youtube.com/watch?v=ruu7UJE0KPk")</f>
        <v>https://www.youtube.com/watch?v=ruu7UJE0KPk</v>
      </c>
      <c r="L154" t="inlineStr">
        <is>
          <t xml:space="preserve">Watch a step-by-step guide to creating your own customized automated document approval system simply by using 1 Microsoft ...</t>
        </is>
      </c>
      <c r="M154" t="inlineStr">
        <is>
          <t xml:space="preserve">power automate sharepoint automation</t>
        </is>
      </c>
    </row>
    <row r="155">
      <c r="A155" s="3">
        <v>154</v>
      </c>
      <c r="B155" t="inlineStr">
        <is>
          <t xml:space="preserve">Video</t>
        </is>
      </c>
      <c r="C155" t="inlineStr">
        <is>
          <t xml:space="preserve">English</t>
        </is>
      </c>
      <c r="D155" t="inlineStr">
        <is>
          <t xml:space="preserve">Tutorial</t>
        </is>
      </c>
      <c r="E155" t="inlineStr">
        <is>
          <t xml:space="preserve">Excel, Email/Outlook</t>
        </is>
      </c>
      <c r="F155" t="inlineStr">
        <is>
          <t xml:space="preserve">Send Personalized Emails from Excel using Power Automate</t>
        </is>
      </c>
      <c r="G155" t="inlineStr">
        <is>
          <t xml:space="preserve">Teacher's Tech</t>
        </is>
      </c>
      <c r="H155" s="3">
        <v>262018</v>
      </c>
      <c r="I155" t="inlineStr">
        <is>
          <t xml:space="preserve">2y ago</t>
        </is>
      </c>
      <c r="J155" t="inlineStr">
        <is>
          <t xml:space="preserve">11:21</t>
        </is>
      </c>
      <c r="K155" s="2" t="str">
        <f>HYPERLINK("https://www.youtube.com/watch?v=OxBkrC4mHq4","https://www.youtube.com/watch?v=OxBkrC4mHq4")</f>
        <v>https://www.youtube.com/watch?v=OxBkrC4mHq4</v>
      </c>
      <c r="L155" t="inlineStr">
        <is>
          <t xml:space="preserve">Learn how to streamline your email communication process with this step-by-step tutorial! In this video, we'll walk you through the ...</t>
        </is>
      </c>
      <c r="M155" t="inlineStr">
        <is>
          <t xml:space="preserve">power automate excel automation</t>
        </is>
      </c>
    </row>
    <row r="156">
      <c r="A156" s="3">
        <v>155</v>
      </c>
      <c r="B156" t="inlineStr">
        <is>
          <t xml:space="preserve">Video</t>
        </is>
      </c>
      <c r="C156" t="inlineStr">
        <is>
          <t xml:space="preserve">English</t>
        </is>
      </c>
      <c r="D156" t="inlineStr">
        <is>
          <t xml:space="preserve">Tutorial</t>
        </is>
      </c>
      <c r="E156" t="inlineStr">
        <is>
          <t xml:space="preserve"/>
        </is>
      </c>
      <c r="F156" t="inlineStr">
        <is>
          <t xml:space="preserve">Microsoft Power Platform Fundamentals in 15 Minutes</t>
        </is>
      </c>
      <c r="G156" t="inlineStr">
        <is>
          <t xml:space="preserve">Lisa Crosbie</t>
        </is>
      </c>
      <c r="H156" s="3">
        <v>246295</v>
      </c>
      <c r="I156" t="inlineStr">
        <is>
          <t xml:space="preserve">5y ago</t>
        </is>
      </c>
      <c r="J156" t="inlineStr">
        <is>
          <t xml:space="preserve">14:11</t>
        </is>
      </c>
      <c r="K156" s="2" t="str">
        <f>HYPERLINK("https://www.youtube.com/watch?v=ergBfAQqsgk","https://www.youtube.com/watch?v=ergBfAQqsgk")</f>
        <v>https://www.youtube.com/watch?v=ergBfAQqsgk</v>
      </c>
      <c r="L156" t="inlineStr">
        <is>
          <t xml:space="preserve">An overview of the Microsoft Power Platform in 15 minutes, covering all the fundamental tools in the platform, what they do, and ...</t>
        </is>
      </c>
      <c r="M156" t="inlineStr">
        <is>
          <t xml:space="preserve">PL-900 power platform</t>
        </is>
      </c>
    </row>
    <row r="157">
      <c r="A157" s="3">
        <v>156</v>
      </c>
      <c r="B157" t="inlineStr">
        <is>
          <t xml:space="preserve">Video</t>
        </is>
      </c>
      <c r="C157" t="inlineStr">
        <is>
          <t xml:space="preserve">English</t>
        </is>
      </c>
      <c r="D157" t="inlineStr">
        <is>
          <t xml:space="preserve">Tutorial</t>
        </is>
      </c>
      <c r="E157" t="inlineStr">
        <is>
          <t xml:space="preserve"/>
        </is>
      </c>
      <c r="F157" t="inlineStr">
        <is>
          <t xml:space="preserve">Power Automate Beginner Tutorial</t>
        </is>
      </c>
      <c r="G157" t="inlineStr">
        <is>
          <t xml:space="preserve">Learn Skills Daily</t>
        </is>
      </c>
      <c r="H157" s="3">
        <v>229289</v>
      </c>
      <c r="I157" t="inlineStr">
        <is>
          <t xml:space="preserve">4y ago</t>
        </is>
      </c>
      <c r="J157" t="inlineStr">
        <is>
          <t xml:space="preserve">54:12</t>
        </is>
      </c>
      <c r="K157" s="2" t="str">
        <f>HYPERLINK("https://www.youtube.com/watch?v=a6Td25Nq8lg","https://www.youtube.com/watch?v=a6Td25Nq8lg")</f>
        <v>https://www.youtube.com/watch?v=a6Td25Nq8lg</v>
      </c>
      <c r="L157" t="inlineStr">
        <is>
          <t xml:space="preserve">Power Automate Beginner Tutorial Get Ad-Free Training by becoming a member today!</t>
        </is>
      </c>
      <c r="M157" t="inlineStr">
        <is>
          <t xml:space="preserve">power automate tutorial for beginners</t>
        </is>
      </c>
    </row>
    <row r="158">
      <c r="A158" s="3">
        <v>157</v>
      </c>
      <c r="B158" t="inlineStr">
        <is>
          <t xml:space="preserve">Video</t>
        </is>
      </c>
      <c r="C158" t="inlineStr">
        <is>
          <t xml:space="preserve">English</t>
        </is>
      </c>
      <c r="D158" t="inlineStr">
        <is>
          <t xml:space="preserve">Tutorial</t>
        </is>
      </c>
      <c r="E158" t="inlineStr">
        <is>
          <t xml:space="preserve">Approvals</t>
        </is>
      </c>
      <c r="F158" t="inlineStr">
        <is>
          <t xml:space="preserve">Power Automate Approval Workflow Basics</t>
        </is>
      </c>
      <c r="G158" t="inlineStr">
        <is>
          <t xml:space="preserve">Reza Dorrani</t>
        </is>
      </c>
      <c r="H158" s="3">
        <v>229152</v>
      </c>
      <c r="I158" t="inlineStr">
        <is>
          <t xml:space="preserve">6y ago</t>
        </is>
      </c>
      <c r="J158" t="inlineStr">
        <is>
          <t xml:space="preserve">30:01</t>
        </is>
      </c>
      <c r="K158" s="2" t="str">
        <f>HYPERLINK("https://www.youtube.com/watch?v=4ZnI0_atYUo","https://www.youtube.com/watch?v=4ZnI0_atYUo")</f>
        <v>https://www.youtube.com/watch?v=4ZnI0_atYUo</v>
      </c>
      <c r="L158" t="inlineStr">
        <is>
          <t xml:space="preserve">In this Microsoft Power Platform video, we will explore the flow Approval action in detail and cover Power Automate Approval ...</t>
        </is>
      </c>
      <c r="M158" t="inlineStr">
        <is>
          <t xml:space="preserve">power automate approval workflow</t>
        </is>
      </c>
    </row>
    <row r="159">
      <c r="A159" s="3">
        <v>158</v>
      </c>
      <c r="B159" t="inlineStr">
        <is>
          <t xml:space="preserve">Video</t>
        </is>
      </c>
      <c r="C159" t="inlineStr">
        <is>
          <t xml:space="preserve">English</t>
        </is>
      </c>
      <c r="D159" t="inlineStr">
        <is>
          <t xml:space="preserve">Tutorial</t>
        </is>
      </c>
      <c r="E159" t="inlineStr">
        <is>
          <t xml:space="preserve">Email/Outlook</t>
        </is>
      </c>
      <c r="F159" t="inlineStr">
        <is>
          <t xml:space="preserve">How to Send Recurring Emails in Outlook</t>
        </is>
      </c>
      <c r="G159" t="inlineStr">
        <is>
          <t xml:space="preserve">Kevin Stratvert</t>
        </is>
      </c>
      <c r="H159" s="3">
        <v>220411</v>
      </c>
      <c r="I159" t="inlineStr">
        <is>
          <t xml:space="preserve">2y ago</t>
        </is>
      </c>
      <c r="J159" t="inlineStr">
        <is>
          <t xml:space="preserve">7:22</t>
        </is>
      </c>
      <c r="K159" s="2" t="str">
        <f>HYPERLINK("https://www.youtube.com/watch?v=vm29DZRO7Bc","https://www.youtube.com/watch?v=vm29DZRO7Bc")</f>
        <v>https://www.youtube.com/watch?v=vm29DZRO7Bc</v>
      </c>
      <c r="L159" t="inlineStr">
        <is>
          <t xml:space="preserve">In this step-by-step tutorial, learn how to send recurring emails in Outlook using Power Automate. Power Automate is a free ...</t>
        </is>
      </c>
      <c r="M159" t="inlineStr">
        <is>
          <t xml:space="preserve">power automate email automation outlook</t>
        </is>
      </c>
    </row>
    <row r="160">
      <c r="A160" s="3">
        <v>159</v>
      </c>
      <c r="B160" t="inlineStr">
        <is>
          <t xml:space="preserve">Video</t>
        </is>
      </c>
      <c r="C160" t="inlineStr">
        <is>
          <t xml:space="preserve">English</t>
        </is>
      </c>
      <c r="D160" t="inlineStr">
        <is>
          <t xml:space="preserve">Tutorial</t>
        </is>
      </c>
      <c r="E160" t="inlineStr">
        <is>
          <t xml:space="preserve">Desktop/RPA</t>
        </is>
      </c>
      <c r="F160" t="inlineStr">
        <is>
          <t xml:space="preserve">Unleashing the Time-Saving Magic of Power Automate Desktop</t>
        </is>
      </c>
      <c r="G160" t="inlineStr">
        <is>
          <t xml:space="preserve">TechSocket</t>
        </is>
      </c>
      <c r="H160" s="3">
        <v>187572</v>
      </c>
      <c r="I160" t="inlineStr">
        <is>
          <t xml:space="preserve">3y ago</t>
        </is>
      </c>
      <c r="J160" t="inlineStr">
        <is>
          <t xml:space="preserve">0:19</t>
        </is>
      </c>
      <c r="K160" s="2" t="str">
        <f>HYPERLINK("https://www.youtube.com/watch?v=N5dkXkFecH4","https://www.youtube.com/watch?v=N5dkXkFecH4")</f>
        <v>https://www.youtube.com/watch?v=N5dkXkFecH4</v>
      </c>
      <c r="L160" t="inlineStr">
        <is>
          <t xml:space="preserve">shorts Are you tired of spending countless hours on repetitive, mundane tasks? Do you wish you had more time to focus on ...</t>
        </is>
      </c>
      <c r="M160" t="inlineStr">
        <is>
          <t xml:space="preserve">power automate advanced tutorial</t>
        </is>
      </c>
    </row>
    <row r="161">
      <c r="A161" s="3">
        <v>160</v>
      </c>
      <c r="B161" t="inlineStr">
        <is>
          <t xml:space="preserve">Video</t>
        </is>
      </c>
      <c r="C161" t="inlineStr">
        <is>
          <t xml:space="preserve">English</t>
        </is>
      </c>
      <c r="D161" t="inlineStr">
        <is>
          <t xml:space="preserve">Tutorial</t>
        </is>
      </c>
      <c r="E161" t="inlineStr">
        <is>
          <t xml:space="preserve">Approvals</t>
        </is>
      </c>
      <c r="F161" t="inlineStr">
        <is>
          <t xml:space="preserve">How to Create an Approval Workflow Using Power Automate |  (Step-by-Step Tutorial)</t>
        </is>
      </c>
      <c r="G161" t="inlineStr">
        <is>
          <t xml:space="preserve">Michael Alex</t>
        </is>
      </c>
      <c r="H161" s="3">
        <v>169692</v>
      </c>
      <c r="I161" t="inlineStr">
        <is>
          <t xml:space="preserve">4y ago</t>
        </is>
      </c>
      <c r="J161" t="inlineStr">
        <is>
          <t xml:space="preserve">9:55</t>
        </is>
      </c>
      <c r="K161" s="2" t="str">
        <f>HYPERLINK("https://www.youtube.com/watch?v=3i_Bi9yVyiw","https://www.youtube.com/watch?v=3i_Bi9yVyiw")</f>
        <v>https://www.youtube.com/watch?v=3i_Bi9yVyiw</v>
      </c>
      <c r="L161" t="inlineStr">
        <is>
          <t xml:space="preserve">Hi Everyone, In this video, I demonstrate how to create an approval process using Power Automate. The approval action I'm using ...</t>
        </is>
      </c>
      <c r="M161" t="inlineStr">
        <is>
          <t xml:space="preserve">power automate approval workflow</t>
        </is>
      </c>
    </row>
    <row r="162">
      <c r="A162" s="3">
        <v>161</v>
      </c>
      <c r="B162" t="inlineStr">
        <is>
          <t xml:space="preserve">Video</t>
        </is>
      </c>
      <c r="C162" t="inlineStr">
        <is>
          <t xml:space="preserve">English</t>
        </is>
      </c>
      <c r="D162" t="inlineStr">
        <is>
          <t xml:space="preserve">Tutorial</t>
        </is>
      </c>
      <c r="E162" t="inlineStr">
        <is>
          <t xml:space="preserve">SharePoint</t>
        </is>
      </c>
      <c r="F162" t="inlineStr">
        <is>
          <t xml:space="preserve">Creating Automated Workflows in Microsoft SharePoint Online with Power Automate - Office 365</t>
        </is>
      </c>
      <c r="G162" t="inlineStr">
        <is>
          <t xml:space="preserve">Simon Sez IT</t>
        </is>
      </c>
      <c r="H162" s="3">
        <v>161066</v>
      </c>
      <c r="I162" t="inlineStr">
        <is>
          <t xml:space="preserve">5y ago</t>
        </is>
      </c>
      <c r="J162" t="inlineStr">
        <is>
          <t xml:space="preserve">9:52</t>
        </is>
      </c>
      <c r="K162" s="2" t="str">
        <f>HYPERLINK("https://www.youtube.com/watch?v=gVBytZBm0wg","https://www.youtube.com/watch?v=gVBytZBm0wg")</f>
        <v>https://www.youtube.com/watch?v=gVBytZBm0wg</v>
      </c>
      <c r="L162" t="inlineStr">
        <is>
          <t xml:space="preserve">In this SharePoint tutorial, we demonstrate how to create an automated workflow in Microsoft SharePoint Online. We walk you ...</t>
        </is>
      </c>
      <c r="M162" t="inlineStr">
        <is>
          <t xml:space="preserve">power automate sharepoint automation</t>
        </is>
      </c>
    </row>
    <row r="163">
      <c r="A163" s="3">
        <v>162</v>
      </c>
      <c r="B163" t="inlineStr">
        <is>
          <t xml:space="preserve">Video</t>
        </is>
      </c>
      <c r="C163" t="inlineStr">
        <is>
          <t xml:space="preserve">English</t>
        </is>
      </c>
      <c r="D163" t="inlineStr">
        <is>
          <t xml:space="preserve">Tutorial</t>
        </is>
      </c>
      <c r="E163" t="inlineStr">
        <is>
          <t xml:space="preserve">SharePoint</t>
        </is>
      </c>
      <c r="F163" t="inlineStr">
        <is>
          <t xml:space="preserve">Create a Ticketing System in Sharepoint with Power Automate</t>
        </is>
      </c>
      <c r="G163" t="inlineStr">
        <is>
          <t xml:space="preserve">SharePointPro</t>
        </is>
      </c>
      <c r="H163" s="3">
        <v>152357</v>
      </c>
      <c r="I163" t="inlineStr">
        <is>
          <t xml:space="preserve">4y ago</t>
        </is>
      </c>
      <c r="J163" t="inlineStr">
        <is>
          <t xml:space="preserve">13:46</t>
        </is>
      </c>
      <c r="K163" s="2" t="str">
        <f>HYPERLINK("https://www.youtube.com/watch?v=hS6KzlcRfU0","https://www.youtube.com/watch?v=hS6KzlcRfU0")</f>
        <v>https://www.youtube.com/watch?v=hS6KzlcRfU0</v>
      </c>
      <c r="L163" t="inlineStr">
        <is>
          <t xml:space="preserve">I take you through a way to create a simple yet powerful ticketing/tasking system using only SharePoint and MS Power Automate ...</t>
        </is>
      </c>
      <c r="M163" t="inlineStr">
        <is>
          <t xml:space="preserve">power automate sharepoint automation</t>
        </is>
      </c>
    </row>
    <row r="164">
      <c r="A164" s="3">
        <v>163</v>
      </c>
      <c r="B164" t="inlineStr">
        <is>
          <t xml:space="preserve">Video</t>
        </is>
      </c>
      <c r="C164" t="inlineStr">
        <is>
          <t xml:space="preserve">English</t>
        </is>
      </c>
      <c r="D164" t="inlineStr">
        <is>
          <t xml:space="preserve">Tutorial</t>
        </is>
      </c>
      <c r="E164" t="inlineStr">
        <is>
          <t xml:space="preserve"/>
        </is>
      </c>
      <c r="F164" t="inlineStr">
        <is>
          <t xml:space="preserve">What is Microsoft Power Automate? Explanation for Beginners</t>
        </is>
      </c>
      <c r="G164" t="inlineStr">
        <is>
          <t xml:space="preserve">Simon Sez IT</t>
        </is>
      </c>
      <c r="H164" s="3">
        <v>144108</v>
      </c>
      <c r="I164" t="inlineStr">
        <is>
          <t xml:space="preserve">5y ago</t>
        </is>
      </c>
      <c r="J164" t="inlineStr">
        <is>
          <t xml:space="preserve">4:19</t>
        </is>
      </c>
      <c r="K164" s="2" t="str">
        <f>HYPERLINK("https://www.youtube.com/watch?v=yVAEH6-ui0w","https://www.youtube.com/watch?v=yVAEH6-ui0w")</f>
        <v>https://www.youtube.com/watch?v=yVAEH6-ui0w</v>
      </c>
      <c r="L164" t="inlineStr">
        <is>
          <t xml:space="preserve">Microsoft Power Automate is a tool that allows you to automate tasks and business processes, although it is not limited to business ...</t>
        </is>
      </c>
      <c r="M164" t="inlineStr">
        <is>
          <t xml:space="preserve">পাওয়ার অটোমেট</t>
        </is>
      </c>
    </row>
    <row r="165">
      <c r="A165" s="3">
        <v>164</v>
      </c>
      <c r="B165" t="inlineStr">
        <is>
          <t xml:space="preserve">Video</t>
        </is>
      </c>
      <c r="C165" t="inlineStr">
        <is>
          <t xml:space="preserve">English</t>
        </is>
      </c>
      <c r="D165" t="inlineStr">
        <is>
          <t xml:space="preserve">Tutorial</t>
        </is>
      </c>
      <c r="E165" t="inlineStr">
        <is>
          <t xml:space="preserve"/>
        </is>
      </c>
      <c r="F165" t="inlineStr">
        <is>
          <t xml:space="preserve">Microsoft Power Platform - Overview for beginners (2025 update)</t>
        </is>
      </c>
      <c r="G165" t="inlineStr">
        <is>
          <t xml:space="preserve">Dani Kahil</t>
        </is>
      </c>
      <c r="H165" s="3">
        <v>143671</v>
      </c>
      <c r="I165" t="inlineStr">
        <is>
          <t xml:space="preserve">1y ago</t>
        </is>
      </c>
      <c r="J165" t="inlineStr">
        <is>
          <t xml:space="preserve">11:04</t>
        </is>
      </c>
      <c r="K165" s="2" t="str">
        <f>HYPERLINK("https://www.youtube.com/watch?v=6xKlq-qZdsI","https://www.youtube.com/watch?v=6xKlq-qZdsI")</f>
        <v>https://www.youtube.com/watch?v=6xKlq-qZdsI</v>
      </c>
      <c r="L165" t="inlineStr">
        <is>
          <t xml:space="preserve">This video addresses the Microsoft Power Platform, covering the latest Microsoft updates from 2025. We provide an overview of ...</t>
        </is>
      </c>
      <c r="M165" t="inlineStr">
        <is>
          <t xml:space="preserve">PL-900 power platform</t>
        </is>
      </c>
    </row>
    <row r="166">
      <c r="A166" s="3">
        <v>165</v>
      </c>
      <c r="B166" t="inlineStr">
        <is>
          <t xml:space="preserve">Video</t>
        </is>
      </c>
      <c r="C166" t="inlineStr">
        <is>
          <t xml:space="preserve">English</t>
        </is>
      </c>
      <c r="D166" t="inlineStr">
        <is>
          <t xml:space="preserve">Tutorial</t>
        </is>
      </c>
      <c r="E166" t="inlineStr">
        <is>
          <t xml:space="preserve">Approvals</t>
        </is>
      </c>
      <c r="F166" t="inlineStr">
        <is>
          <t xml:space="preserve">How to Send a Microsoft Form Approval to a Manager Using Power Automate | (Step-by-Step Tutorial)</t>
        </is>
      </c>
      <c r="G166" t="inlineStr">
        <is>
          <t xml:space="preserve">Michael Alex</t>
        </is>
      </c>
      <c r="H166" s="3">
        <v>137409</v>
      </c>
      <c r="I166" t="inlineStr">
        <is>
          <t xml:space="preserve">3y ago</t>
        </is>
      </c>
      <c r="J166" t="inlineStr">
        <is>
          <t xml:space="preserve">8:32</t>
        </is>
      </c>
      <c r="K166" s="2" t="str">
        <f>HYPERLINK("https://www.youtube.com/watch?v=BH6K_Vze42U","https://www.youtube.com/watch?v=BH6K_Vze42U")</f>
        <v>https://www.youtube.com/watch?v=BH6K_Vze42U</v>
      </c>
      <c r="L166" t="inlineStr">
        <is>
          <t xml:space="preserve">Hi Everyone, In this video, I demonstrate how to send a Microsoft Form Approval to the User's manager that submitted the form ...</t>
        </is>
      </c>
      <c r="M166" t="inlineStr">
        <is>
          <t xml:space="preserve">power automate approval workflow</t>
        </is>
      </c>
    </row>
    <row r="167">
      <c r="A167" s="3">
        <v>166</v>
      </c>
      <c r="B167" t="inlineStr">
        <is>
          <t xml:space="preserve">Video</t>
        </is>
      </c>
      <c r="C167" t="inlineStr">
        <is>
          <t xml:space="preserve">English</t>
        </is>
      </c>
      <c r="D167" t="inlineStr">
        <is>
          <t xml:space="preserve">Tutorial</t>
        </is>
      </c>
      <c r="E167" t="inlineStr">
        <is>
          <t xml:space="preserve">Email/Outlook</t>
        </is>
      </c>
      <c r="F167" t="inlineStr">
        <is>
          <t xml:space="preserve">How to Automate Regular Emails in Microsoft Outlook</t>
        </is>
      </c>
      <c r="G167" t="inlineStr">
        <is>
          <t xml:space="preserve">Teacher's Tech</t>
        </is>
      </c>
      <c r="H167" s="3">
        <v>129627</v>
      </c>
      <c r="I167" t="inlineStr">
        <is>
          <t xml:space="preserve">2y ago</t>
        </is>
      </c>
      <c r="J167" t="inlineStr">
        <is>
          <t xml:space="preserve">8:43</t>
        </is>
      </c>
      <c r="K167" s="2" t="str">
        <f>HYPERLINK("https://www.youtube.com/watch?v=HfMzxamFNUk","https://www.youtube.com/watch?v=HfMzxamFNUk")</f>
        <v>https://www.youtube.com/watch?v=HfMzxamFNUk</v>
      </c>
      <c r="L167" t="inlineStr">
        <is>
          <t xml:space="preserve">In this step-by-step tutorial, learn how to automate regular emails in Microsoft Outlook effortlessly using Power Automate, which ...</t>
        </is>
      </c>
      <c r="M167" t="inlineStr">
        <is>
          <t xml:space="preserve">power automate email automation outlook</t>
        </is>
      </c>
    </row>
    <row r="168">
      <c r="A168" s="3">
        <v>167</v>
      </c>
      <c r="B168" t="inlineStr">
        <is>
          <t xml:space="preserve">Video</t>
        </is>
      </c>
      <c r="C168" t="inlineStr">
        <is>
          <t xml:space="preserve">English</t>
        </is>
      </c>
      <c r="D168" t="inlineStr">
        <is>
          <t xml:space="preserve">Tutorial</t>
        </is>
      </c>
      <c r="E168" t="inlineStr">
        <is>
          <t xml:space="preserve">Desktop/RPA, Excel, Web automation</t>
        </is>
      </c>
      <c r="F168" t="inlineStr">
        <is>
          <t xml:space="preserve">Power Automate Desktop Tutorial for Beginners [2026]</t>
        </is>
      </c>
      <c r="G168" t="inlineStr">
        <is>
          <t xml:space="preserve">Anders Jensen</t>
        </is>
      </c>
      <c r="H168" s="3">
        <v>129382</v>
      </c>
      <c r="I168" t="inlineStr">
        <is>
          <t xml:space="preserve">2y ago</t>
        </is>
      </c>
      <c r="J168" t="inlineStr">
        <is>
          <t xml:space="preserve">1:21:03</t>
        </is>
      </c>
      <c r="K168" s="2" t="str">
        <f>HYPERLINK("https://www.youtube.com/watch?v=B0cHOdBv7Jg","https://www.youtube.com/watch?v=B0cHOdBv7Jg")</f>
        <v>https://www.youtube.com/watch?v=B0cHOdBv7Jg</v>
      </c>
      <c r="L168" t="inlineStr">
        <is>
          <t xml:space="preserve">This Power Automate Desktop tutorial for beginners builds one complete flow step by step: It reads Excel, scrapes stock prices ...</t>
        </is>
      </c>
      <c r="M168" t="inlineStr">
        <is>
          <t xml:space="preserve">power automate desktop full course</t>
        </is>
      </c>
    </row>
    <row r="169">
      <c r="A169" s="3">
        <v>168</v>
      </c>
      <c r="B169" t="inlineStr">
        <is>
          <t xml:space="preserve">Video</t>
        </is>
      </c>
      <c r="C169" t="inlineStr">
        <is>
          <t xml:space="preserve">English</t>
        </is>
      </c>
      <c r="D169" t="inlineStr">
        <is>
          <t xml:space="preserve">Tutorial</t>
        </is>
      </c>
      <c r="E169" t="inlineStr">
        <is>
          <t xml:space="preserve"/>
        </is>
      </c>
      <c r="F169" t="inlineStr">
        <is>
          <t xml:space="preserve">Power Automate Advanced Tutorial</t>
        </is>
      </c>
      <c r="G169" t="inlineStr">
        <is>
          <t xml:space="preserve">Learn Skills Daily</t>
        </is>
      </c>
      <c r="H169" s="3">
        <v>129234</v>
      </c>
      <c r="I169" t="inlineStr">
        <is>
          <t xml:space="preserve">4y ago</t>
        </is>
      </c>
      <c r="J169" t="inlineStr">
        <is>
          <t xml:space="preserve">1:50:12</t>
        </is>
      </c>
      <c r="K169" s="2" t="str">
        <f>HYPERLINK("https://www.youtube.com/watch?v=kScaJtJgHy0","https://www.youtube.com/watch?v=kScaJtJgHy0")</f>
        <v>https://www.youtube.com/watch?v=kScaJtJgHy0</v>
      </c>
      <c r="L169" t="inlineStr">
        <is>
          <t xml:space="preserve">Power Automate Advanced Tutorial Get Ad-Free Training by becoming a member today!</t>
        </is>
      </c>
      <c r="M169" t="inlineStr">
        <is>
          <t xml:space="preserve">power automate advanced tutorial</t>
        </is>
      </c>
    </row>
    <row r="170">
      <c r="A170" s="3">
        <v>169</v>
      </c>
      <c r="B170" t="inlineStr">
        <is>
          <t xml:space="preserve">Video</t>
        </is>
      </c>
      <c r="C170" t="inlineStr">
        <is>
          <t xml:space="preserve">English</t>
        </is>
      </c>
      <c r="D170" t="inlineStr">
        <is>
          <t xml:space="preserve">Tutorial</t>
        </is>
      </c>
      <c r="E170" t="inlineStr">
        <is>
          <t xml:space="preserve">Desktop/RPA, Excel</t>
        </is>
      </c>
      <c r="F170" t="inlineStr">
        <is>
          <t xml:space="preserve">Power Automate Desktop : Module 3 : Excel Automation - 1 (Launch Excel, Read from Excel,Close Excel)</t>
        </is>
      </c>
      <c r="G170" t="inlineStr">
        <is>
          <t xml:space="preserve">Learn RPA &amp; AI Technologies every day</t>
        </is>
      </c>
      <c r="H170" s="3">
        <v>117166</v>
      </c>
      <c r="I170" t="inlineStr">
        <is>
          <t xml:space="preserve">5y ago</t>
        </is>
      </c>
      <c r="J170" t="inlineStr">
        <is>
          <t xml:space="preserve">20:42</t>
        </is>
      </c>
      <c r="K170" s="2" t="str">
        <f>HYPERLINK("https://www.youtube.com/watch?v=OyfRLYdmbEc","https://www.youtube.com/watch?v=OyfRLYdmbEc")</f>
        <v>https://www.youtube.com/watch?v=OyfRLYdmbEc</v>
      </c>
      <c r="L170" t="inlineStr">
        <is>
          <t xml:space="preserve">powerAutomatedesktop #microsoftpowerAutomatedesktop #powerAutomate #microsoftpowerAutomate #RPA In this Module, we ...</t>
        </is>
      </c>
      <c r="M170" t="inlineStr">
        <is>
          <t xml:space="preserve">power automate excel automation</t>
        </is>
      </c>
    </row>
    <row r="171">
      <c r="A171" s="3">
        <v>170</v>
      </c>
      <c r="B171" t="inlineStr">
        <is>
          <t xml:space="preserve">Video</t>
        </is>
      </c>
      <c r="C171" t="inlineStr">
        <is>
          <t xml:space="preserve">English</t>
        </is>
      </c>
      <c r="D171" t="inlineStr">
        <is>
          <t xml:space="preserve">Tutorial</t>
        </is>
      </c>
      <c r="E171" t="inlineStr">
        <is>
          <t xml:space="preserve">Email/Outlook, Teams</t>
        </is>
      </c>
      <c r="F171" t="inlineStr">
        <is>
          <t xml:space="preserve">5 Power Automate Hacks to Save Hours Every Day!</t>
        </is>
      </c>
      <c r="G171" t="inlineStr">
        <is>
          <t xml:space="preserve">Ben Westlake</t>
        </is>
      </c>
      <c r="H171" s="3">
        <v>114886</v>
      </c>
      <c r="I171" t="inlineStr">
        <is>
          <t xml:space="preserve">1y ago</t>
        </is>
      </c>
      <c r="J171" t="inlineStr">
        <is>
          <t xml:space="preserve">0:42</t>
        </is>
      </c>
      <c r="K171" s="2" t="str">
        <f>HYPERLINK("https://www.youtube.com/watch?v=hALdG11PrnE","https://www.youtube.com/watch?v=hALdG11PrnE")</f>
        <v>https://www.youtube.com/watch?v=hALdG11PrnE</v>
      </c>
      <c r="L171" t="inlineStr">
        <is>
          <t xml:space="preserve">Save hours every day with these 5 genius Power Automate hacks! From instant Teams notifications for important emails to ...</t>
        </is>
      </c>
      <c r="M171" t="inlineStr">
        <is>
          <t xml:space="preserve">power automate advanced tutorial</t>
        </is>
      </c>
    </row>
    <row r="172">
      <c r="A172" s="3">
        <v>171</v>
      </c>
      <c r="B172" t="inlineStr">
        <is>
          <t xml:space="preserve">Video</t>
        </is>
      </c>
      <c r="C172" t="inlineStr">
        <is>
          <t xml:space="preserve">English</t>
        </is>
      </c>
      <c r="D172" t="inlineStr">
        <is>
          <t xml:space="preserve">Tutorial</t>
        </is>
      </c>
      <c r="E172" t="inlineStr">
        <is>
          <t xml:space="preserve">Approvals</t>
        </is>
      </c>
      <c r="F172" t="inlineStr">
        <is>
          <t xml:space="preserve">Flow Approval Attachments - Power Automate Tutorial</t>
        </is>
      </c>
      <c r="G172" t="inlineStr">
        <is>
          <t xml:space="preserve">Reza Dorrani</t>
        </is>
      </c>
      <c r="H172" s="3">
        <v>114354</v>
      </c>
      <c r="I172" t="inlineStr">
        <is>
          <t xml:space="preserve">5y ago</t>
        </is>
      </c>
      <c r="J172" t="inlineStr">
        <is>
          <t xml:space="preserve">29:04</t>
        </is>
      </c>
      <c r="K172" s="2" t="str">
        <f>HYPERLINK("https://www.youtube.com/watch?v=ShNhn-jSBC0","https://www.youtube.com/watch?v=ShNhn-jSBC0")</f>
        <v>https://www.youtube.com/watch?v=ShNhn-jSBC0</v>
      </c>
      <c r="L172" t="inlineStr">
        <is>
          <t xml:space="preserve">This video is a beginner's tutorial on working with the flow approval attachments feature in Power Automate. If you ever wanted to ...</t>
        </is>
      </c>
      <c r="M172" t="inlineStr">
        <is>
          <t xml:space="preserve">power automate approval workflow</t>
        </is>
      </c>
    </row>
    <row r="173">
      <c r="A173" s="3">
        <v>172</v>
      </c>
      <c r="B173" t="inlineStr">
        <is>
          <t xml:space="preserve">Video</t>
        </is>
      </c>
      <c r="C173" t="inlineStr">
        <is>
          <t xml:space="preserve">English</t>
        </is>
      </c>
      <c r="D173" t="inlineStr">
        <is>
          <t xml:space="preserve">Tutorial</t>
        </is>
      </c>
      <c r="E173" t="inlineStr">
        <is>
          <t xml:space="preserve">Approvals</t>
        </is>
      </c>
      <c r="F173" t="inlineStr">
        <is>
          <t xml:space="preserve">Easy Sequential Approvals in Power Automate | Beginner's Tutorial</t>
        </is>
      </c>
      <c r="G173" t="inlineStr">
        <is>
          <t xml:space="preserve">Reza Dorrani</t>
        </is>
      </c>
      <c r="H173" s="3">
        <v>112663</v>
      </c>
      <c r="I173" t="inlineStr">
        <is>
          <t xml:space="preserve">2y ago</t>
        </is>
      </c>
      <c r="J173" t="inlineStr">
        <is>
          <t xml:space="preserve">17:18</t>
        </is>
      </c>
      <c r="K173" s="2" t="str">
        <f>HYPERLINK("https://www.youtube.com/watch?v=F819U_l07qI","https://www.youtube.com/watch?v=F819U_l07qI")</f>
        <v>https://www.youtube.com/watch?v=F819U_l07qI</v>
      </c>
      <c r="L173" t="inlineStr">
        <is>
          <t xml:space="preserve">In this Power Automate Approvals beginner's tutorial, I'll guide you through building a Sequential Approval Workflow Process ...</t>
        </is>
      </c>
      <c r="M173" t="inlineStr">
        <is>
          <t xml:space="preserve">power automate approval workflow</t>
        </is>
      </c>
    </row>
    <row r="174">
      <c r="A174" s="3">
        <v>173</v>
      </c>
      <c r="B174" t="inlineStr">
        <is>
          <t xml:space="preserve">Video</t>
        </is>
      </c>
      <c r="C174" t="inlineStr">
        <is>
          <t xml:space="preserve">English</t>
        </is>
      </c>
      <c r="D174" t="inlineStr">
        <is>
          <t xml:space="preserve">Tutorial</t>
        </is>
      </c>
      <c r="E174" t="inlineStr">
        <is>
          <t xml:space="preserve">SharePoint, Email/Outlook</t>
        </is>
      </c>
      <c r="F174" t="inlineStr">
        <is>
          <t xml:space="preserve">Send Automatic Emails When a New SharePoint Item Is Created</t>
        </is>
      </c>
      <c r="G174" t="inlineStr">
        <is>
          <t xml:space="preserve">Michael Alex</t>
        </is>
      </c>
      <c r="H174" s="3">
        <v>112311</v>
      </c>
      <c r="I174" t="inlineStr">
        <is>
          <t xml:space="preserve">4y ago</t>
        </is>
      </c>
      <c r="J174" t="inlineStr">
        <is>
          <t xml:space="preserve">6:03</t>
        </is>
      </c>
      <c r="K174" s="2" t="str">
        <f>HYPERLINK("https://www.youtube.com/watch?v=AofAAZeCGMA","https://www.youtube.com/watch?v=AofAAZeCGMA")</f>
        <v>https://www.youtube.com/watch?v=AofAAZeCGMA</v>
      </c>
      <c r="L174" t="inlineStr">
        <is>
          <t xml:space="preserve">Want to automatically send emails whenever a new item is added to a SharePoint list? In this step-by-step Power Automate ...</t>
        </is>
      </c>
      <c r="M174" t="inlineStr">
        <is>
          <t xml:space="preserve">power automate sharepoint automation</t>
        </is>
      </c>
    </row>
    <row r="175">
      <c r="A175" s="3">
        <v>174</v>
      </c>
      <c r="B175" t="inlineStr">
        <is>
          <t xml:space="preserve">Video</t>
        </is>
      </c>
      <c r="C175" t="inlineStr">
        <is>
          <t xml:space="preserve">English</t>
        </is>
      </c>
      <c r="D175" t="inlineStr">
        <is>
          <t xml:space="preserve">Tutorial</t>
        </is>
      </c>
      <c r="E175" t="inlineStr">
        <is>
          <t xml:space="preserve">Desktop/RPA, Web automation</t>
        </is>
      </c>
      <c r="F175" t="inlineStr">
        <is>
          <t xml:space="preserve">Web Automation in Power Automate for Desktop (Full Tutorial)</t>
        </is>
      </c>
      <c r="G175" t="inlineStr">
        <is>
          <t xml:space="preserve">Anders Jensen</t>
        </is>
      </c>
      <c r="H175" s="3">
        <v>107448</v>
      </c>
      <c r="I175" t="inlineStr">
        <is>
          <t xml:space="preserve">4y ago</t>
        </is>
      </c>
      <c r="J175" t="inlineStr">
        <is>
          <t xml:space="preserve">18:51</t>
        </is>
      </c>
      <c r="K175" s="2" t="str">
        <f>HYPERLINK("https://www.youtube.com/watch?v=wm7B_N2eSYY","https://www.youtube.com/watch?v=wm7B_N2eSYY")</f>
        <v>https://www.youtube.com/watch?v=wm7B_N2eSYY</v>
      </c>
      <c r="L175" t="inlineStr">
        <is>
          <t xml:space="preserve">This video tutorial shows how to do web automation in Microsoft Power Automate for Desktop. You'll learn how to work with ...</t>
        </is>
      </c>
      <c r="M175" t="inlineStr">
        <is>
          <t xml:space="preserve">power automate desktop</t>
        </is>
      </c>
    </row>
    <row r="176">
      <c r="A176" s="3">
        <v>175</v>
      </c>
      <c r="B176" t="inlineStr">
        <is>
          <t xml:space="preserve">Video</t>
        </is>
      </c>
      <c r="C176" t="inlineStr">
        <is>
          <t xml:space="preserve">English</t>
        </is>
      </c>
      <c r="D176" t="inlineStr">
        <is>
          <t xml:space="preserve">Tutorial</t>
        </is>
      </c>
      <c r="E176" t="inlineStr">
        <is>
          <t xml:space="preserve"/>
        </is>
      </c>
      <c r="F176" t="inlineStr">
        <is>
          <t xml:space="preserve">Microsoft New Power Automate! Software Make Your Computer Automatic For All Your Task PC into Robot</t>
        </is>
      </c>
      <c r="G176" t="inlineStr">
        <is>
          <t xml:space="preserve">Adi 4 u</t>
        </is>
      </c>
      <c r="H176" s="3">
        <v>99742</v>
      </c>
      <c r="I176" t="inlineStr">
        <is>
          <t xml:space="preserve">5y ago</t>
        </is>
      </c>
      <c r="J176" t="inlineStr">
        <is>
          <t xml:space="preserve">8:17</t>
        </is>
      </c>
      <c r="K176" s="2" t="str">
        <f>HYPERLINK("https://www.youtube.com/watch?v=OfC3QOWww6M","https://www.youtube.com/watch?v=OfC3QOWww6M")</f>
        <v>https://www.youtube.com/watch?v=OfC3QOWww6M</v>
      </c>
      <c r="L176" t="inlineStr">
        <is>
          <t xml:space="preserve">Microsoft Released Power Automate the software that is able to do all your daily bases Task Just in one click, yes it is possible the ...</t>
        </is>
      </c>
      <c r="M176" t="inlineStr">
        <is>
          <t xml:space="preserve">power automate desktop hindi ; power automate project hindi ; power automate hindi ; power automate bangla ; power automate desktop bangla ; microsoft power automate bangla tutorial ; পাওয়ার অটোমেট ; power automate in hindi</t>
        </is>
      </c>
    </row>
    <row r="177">
      <c r="A177" s="3">
        <v>176</v>
      </c>
      <c r="B177" t="inlineStr">
        <is>
          <t xml:space="preserve">Video</t>
        </is>
      </c>
      <c r="C177" t="inlineStr">
        <is>
          <t xml:space="preserve">English</t>
        </is>
      </c>
      <c r="D177" t="inlineStr">
        <is>
          <t xml:space="preserve">Tutorial</t>
        </is>
      </c>
      <c r="E177" t="inlineStr">
        <is>
          <t xml:space="preserve">AI/Copilot</t>
        </is>
      </c>
      <c r="F177" t="inlineStr">
        <is>
          <t xml:space="preserve">AI Builder Overview</t>
        </is>
      </c>
      <c r="G177" t="inlineStr">
        <is>
          <t xml:space="preserve">Microsoft Power Platform</t>
        </is>
      </c>
      <c r="H177" s="3">
        <v>99492</v>
      </c>
      <c r="I177" t="inlineStr">
        <is>
          <t xml:space="preserve">4y ago</t>
        </is>
      </c>
      <c r="J177" t="inlineStr">
        <is>
          <t xml:space="preserve">1:24</t>
        </is>
      </c>
      <c r="K177" s="2" t="str">
        <f>HYPERLINK("https://www.youtube.com/watch?v=F7JU14eVpLg","https://www.youtube.com/watch?v=F7JU14eVpLg")</f>
        <v>https://www.youtube.com/watch?v=F7JU14eVpLg</v>
      </c>
      <c r="L177" t="inlineStr">
        <is>
          <t xml:space="preserve">AI Builder is a Microsoft Power Platform capability that provides AI models that are designed to optimize your business processes.</t>
        </is>
      </c>
      <c r="M177" t="inlineStr">
        <is>
          <t xml:space="preserve">power automate AI builder</t>
        </is>
      </c>
    </row>
    <row r="178">
      <c r="A178" s="3">
        <v>177</v>
      </c>
      <c r="B178" t="inlineStr">
        <is>
          <t xml:space="preserve">Video</t>
        </is>
      </c>
      <c r="C178" t="inlineStr">
        <is>
          <t xml:space="preserve">English</t>
        </is>
      </c>
      <c r="D178" t="inlineStr">
        <is>
          <t xml:space="preserve">Tutorial</t>
        </is>
      </c>
      <c r="E178" t="inlineStr">
        <is>
          <t xml:space="preserve">Excel, Email/Outlook</t>
        </is>
      </c>
      <c r="F178" t="inlineStr">
        <is>
          <t xml:space="preserve">Email Excel Reports with Power Automate &amp; Office Scrips - One Click Automation 🤖</t>
        </is>
      </c>
      <c r="G178" t="inlineStr">
        <is>
          <t xml:space="preserve">Chandoo</t>
        </is>
      </c>
      <c r="H178" s="3">
        <v>90586</v>
      </c>
      <c r="I178" t="inlineStr">
        <is>
          <t xml:space="preserve">3y ago</t>
        </is>
      </c>
      <c r="J178" t="inlineStr">
        <is>
          <t xml:space="preserve">33:27</t>
        </is>
      </c>
      <c r="K178" s="2" t="str">
        <f>HYPERLINK("https://www.youtube.com/watch?v=eeCqaokSSoQ","https://www.youtube.com/watch?v=eeCqaokSSoQ")</f>
        <v>https://www.youtube.com/watch?v=eeCqaokSSoQ</v>
      </c>
      <c r="L178" t="inlineStr">
        <is>
          <t xml:space="preserve">Ever wanted to send an email of your Excel report to the relevant people with a single click? In this video, let me show you how we ...</t>
        </is>
      </c>
      <c r="M178" t="inlineStr">
        <is>
          <t xml:space="preserve">power automate excel automation</t>
        </is>
      </c>
    </row>
    <row r="179">
      <c r="A179" s="3">
        <v>178</v>
      </c>
      <c r="B179" t="inlineStr">
        <is>
          <t xml:space="preserve">Video</t>
        </is>
      </c>
      <c r="C179" t="inlineStr">
        <is>
          <t xml:space="preserve">English</t>
        </is>
      </c>
      <c r="D179" t="inlineStr">
        <is>
          <t xml:space="preserve">Tutorial</t>
        </is>
      </c>
      <c r="E179" t="inlineStr">
        <is>
          <t xml:space="preserve">SharePoint</t>
        </is>
      </c>
      <c r="F179" t="inlineStr">
        <is>
          <t xml:space="preserve">Leave Request Form with SharePoint and Power Automate in under 10 minutes</t>
        </is>
      </c>
      <c r="G179" t="inlineStr">
        <is>
          <t xml:space="preserve">SharePointPro</t>
        </is>
      </c>
      <c r="H179" s="3">
        <v>81082</v>
      </c>
      <c r="I179" t="inlineStr">
        <is>
          <t xml:space="preserve">4y ago</t>
        </is>
      </c>
      <c r="J179" t="inlineStr">
        <is>
          <t xml:space="preserve">10:46</t>
        </is>
      </c>
      <c r="K179" s="2" t="str">
        <f>HYPERLINK("https://www.youtube.com/watch?v=-M95A3vImBw","https://www.youtube.com/watch?v=-M95A3vImBw")</f>
        <v>https://www.youtube.com/watch?v=-M95A3vImBw</v>
      </c>
      <c r="L179" t="inlineStr">
        <is>
          <t xml:space="preserve">I take you how to make a leave request form in under 10minutes, using SharePoint and Power Automate. You can see the MS ...</t>
        </is>
      </c>
      <c r="M179" t="inlineStr">
        <is>
          <t xml:space="preserve">power automate sharepoint automation</t>
        </is>
      </c>
    </row>
    <row r="180">
      <c r="A180" s="3">
        <v>179</v>
      </c>
      <c r="B180" t="inlineStr">
        <is>
          <t xml:space="preserve">Video</t>
        </is>
      </c>
      <c r="C180" t="inlineStr">
        <is>
          <t xml:space="preserve">English</t>
        </is>
      </c>
      <c r="D180" t="inlineStr">
        <is>
          <t xml:space="preserve">Tutorial</t>
        </is>
      </c>
      <c r="E180" t="inlineStr">
        <is>
          <t xml:space="preserve">Desktop/RPA</t>
        </is>
      </c>
      <c r="F180" t="inlineStr">
        <is>
          <t xml:space="preserve">Power Automate Desktop: Best Practices for Advanced Users</t>
        </is>
      </c>
      <c r="G180" t="inlineStr">
        <is>
          <t xml:space="preserve">Anders Jensen</t>
        </is>
      </c>
      <c r="H180" s="3">
        <v>80542</v>
      </c>
      <c r="I180" t="inlineStr">
        <is>
          <t xml:space="preserve">3y ago</t>
        </is>
      </c>
      <c r="J180" t="inlineStr">
        <is>
          <t xml:space="preserve">2:07:19</t>
        </is>
      </c>
      <c r="K180" s="2" t="str">
        <f>HYPERLINK("https://www.youtube.com/watch?v=QjrxLPg_TdI","https://www.youtube.com/watch?v=QjrxLPg_TdI")</f>
        <v>https://www.youtube.com/watch?v=QjrxLPg_TdI</v>
      </c>
      <c r="L180" t="inlineStr">
        <is>
          <t xml:space="preserve">A Power Automate Desktop flow that handles errors, logs in real time and runs from a work queue: These best practices for ...</t>
        </is>
      </c>
      <c r="M180" t="inlineStr">
        <is>
          <t xml:space="preserve">power automate advanced tutorial ; power automate desktop</t>
        </is>
      </c>
    </row>
    <row r="181">
      <c r="A181" s="3">
        <v>180</v>
      </c>
      <c r="B181" t="inlineStr">
        <is>
          <t xml:space="preserve">Video</t>
        </is>
      </c>
      <c r="C181" t="inlineStr">
        <is>
          <t xml:space="preserve">English</t>
        </is>
      </c>
      <c r="D181" t="inlineStr">
        <is>
          <t xml:space="preserve">Tutorial</t>
        </is>
      </c>
      <c r="E181" t="inlineStr">
        <is>
          <t xml:space="preserve">Cloud flows</t>
        </is>
      </c>
      <c r="F181" t="inlineStr">
        <is>
          <t xml:space="preserve">How to Learn Microsoft Power Automate - Full Tutorial</t>
        </is>
      </c>
      <c r="G181" t="inlineStr">
        <is>
          <t xml:space="preserve">Anders Jensen</t>
        </is>
      </c>
      <c r="H181" s="3">
        <v>76080</v>
      </c>
      <c r="I181" t="inlineStr">
        <is>
          <t xml:space="preserve">4y ago</t>
        </is>
      </c>
      <c r="J181" t="inlineStr">
        <is>
          <t xml:space="preserve">46:27</t>
        </is>
      </c>
      <c r="K181" s="2" t="str">
        <f>HYPERLINK("https://www.youtube.com/watch?v=YVr2JgODps0","https://www.youtube.com/watch?v=YVr2JgODps0")</f>
        <v>https://www.youtube.com/watch?v=YVr2JgODps0</v>
      </c>
      <c r="L181" t="inlineStr">
        <is>
          <t xml:space="preserve">If you have never built a flow and want to know how to learn Microsoft Power Automate, this full tutorial builds two cloud flows step ...</t>
        </is>
      </c>
      <c r="M181" t="inlineStr">
        <is>
          <t xml:space="preserve">power automate full course</t>
        </is>
      </c>
    </row>
    <row r="182">
      <c r="A182" s="3">
        <v>181</v>
      </c>
      <c r="B182" t="inlineStr">
        <is>
          <t xml:space="preserve">Video</t>
        </is>
      </c>
      <c r="C182" t="inlineStr">
        <is>
          <t xml:space="preserve">English</t>
        </is>
      </c>
      <c r="D182" t="inlineStr">
        <is>
          <t xml:space="preserve">Tutorial</t>
        </is>
      </c>
      <c r="E182" t="inlineStr">
        <is>
          <t xml:space="preserve">Desktop/RPA, Excel, Email/Outlook</t>
        </is>
      </c>
      <c r="F182" t="inlineStr">
        <is>
          <t xml:space="preserve">Outlook Emails in Power Automate Desktop - Full Tutorial</t>
        </is>
      </c>
      <c r="G182" t="inlineStr">
        <is>
          <t xml:space="preserve">Anders Jensen</t>
        </is>
      </c>
      <c r="H182" s="3">
        <v>74054</v>
      </c>
      <c r="I182" t="inlineStr">
        <is>
          <t xml:space="preserve">3y ago</t>
        </is>
      </c>
      <c r="J182" t="inlineStr">
        <is>
          <t xml:space="preserve">33:10</t>
        </is>
      </c>
      <c r="K182" s="2" t="str">
        <f>HYPERLINK("https://www.youtube.com/watch?v=x5l7Ow7s5Lo","https://www.youtube.com/watch?v=x5l7Ow7s5Lo")</f>
        <v>https://www.youtube.com/watch?v=x5l7Ow7s5Lo</v>
      </c>
      <c r="L182" t="inlineStr">
        <is>
          <t xml:space="preserve">Extract Outlook emails in Power Automate Desktop, write date, sender, subject and body to Excel, and save the attachments in ...</t>
        </is>
      </c>
      <c r="M182" t="inlineStr">
        <is>
          <t xml:space="preserve">power automate email automation outlook</t>
        </is>
      </c>
    </row>
    <row r="183">
      <c r="A183" s="3">
        <v>182</v>
      </c>
      <c r="B183" t="inlineStr">
        <is>
          <t xml:space="preserve">Video</t>
        </is>
      </c>
      <c r="C183" t="inlineStr">
        <is>
          <t xml:space="preserve">English</t>
        </is>
      </c>
      <c r="D183" t="inlineStr">
        <is>
          <t xml:space="preserve">Tutorial</t>
        </is>
      </c>
      <c r="E183" t="inlineStr">
        <is>
          <t xml:space="preserve">Excel</t>
        </is>
      </c>
      <c r="F183" t="inlineStr">
        <is>
          <t xml:space="preserve">Excel in Microsoft Power Automate - Beginners Tutorial</t>
        </is>
      </c>
      <c r="G183" t="inlineStr">
        <is>
          <t xml:space="preserve">Anders Jensen</t>
        </is>
      </c>
      <c r="H183" s="3">
        <v>72939</v>
      </c>
      <c r="I183" t="inlineStr">
        <is>
          <t xml:space="preserve">3y ago</t>
        </is>
      </c>
      <c r="J183" t="inlineStr">
        <is>
          <t xml:space="preserve">1:19:44</t>
        </is>
      </c>
      <c r="K183" s="2" t="str">
        <f>HYPERLINK("https://www.youtube.com/watch?v=PlCnYDkbw3I","https://www.youtube.com/watch?v=PlCnYDkbw3I")</f>
        <v>https://www.youtube.com/watch?v=PlCnYDkbw3I</v>
      </c>
      <c r="L183" t="inlineStr">
        <is>
          <t xml:space="preserve">This video tutorial shows how to update Excel with Microsoft Power Automate. Learn how to update multiple sheets ...</t>
        </is>
      </c>
      <c r="M183" t="inlineStr">
        <is>
          <t xml:space="preserve">power automate excel automation</t>
        </is>
      </c>
    </row>
    <row r="184">
      <c r="A184" s="3">
        <v>183</v>
      </c>
      <c r="B184" t="inlineStr">
        <is>
          <t xml:space="preserve">Video</t>
        </is>
      </c>
      <c r="C184" t="inlineStr">
        <is>
          <t xml:space="preserve">English</t>
        </is>
      </c>
      <c r="D184" t="inlineStr">
        <is>
          <t xml:space="preserve">Tutorial</t>
        </is>
      </c>
      <c r="E184" t="inlineStr">
        <is>
          <t xml:space="preserve">Email/Outlook</t>
        </is>
      </c>
      <c r="F184" t="inlineStr">
        <is>
          <t xml:space="preserve">Outlook Emails in Microsoft Power Automate - Beginners Tutorial</t>
        </is>
      </c>
      <c r="G184" t="inlineStr">
        <is>
          <t xml:space="preserve">Anders Jensen</t>
        </is>
      </c>
      <c r="H184" s="3">
        <v>68726</v>
      </c>
      <c r="I184" t="inlineStr">
        <is>
          <t xml:space="preserve">3y ago</t>
        </is>
      </c>
      <c r="J184" t="inlineStr">
        <is>
          <t xml:space="preserve">24:08</t>
        </is>
      </c>
      <c r="K184" s="2" t="str">
        <f>HYPERLINK("https://www.youtube.com/watch?v=de6us7ssF5w","https://www.youtube.com/watch?v=de6us7ssF5w")</f>
        <v>https://www.youtube.com/watch?v=de6us7ssF5w</v>
      </c>
      <c r="L184" t="inlineStr">
        <is>
          <t xml:space="preserve">This video tutorial shows how to automate Outlook emails with Microsoft Power Automate. You'll learn how to receive emails, save ...</t>
        </is>
      </c>
      <c r="M184" t="inlineStr">
        <is>
          <t xml:space="preserve">power automate email automation outlook</t>
        </is>
      </c>
    </row>
    <row r="185">
      <c r="A185" s="3">
        <v>184</v>
      </c>
      <c r="B185" t="inlineStr">
        <is>
          <t xml:space="preserve">Video</t>
        </is>
      </c>
      <c r="C185" t="inlineStr">
        <is>
          <t xml:space="preserve">English</t>
        </is>
      </c>
      <c r="D185" t="inlineStr">
        <is>
          <t xml:space="preserve">Tutorial</t>
        </is>
      </c>
      <c r="E185" t="inlineStr">
        <is>
          <t xml:space="preserve">AI/Copilot</t>
        </is>
      </c>
      <c r="F185" t="inlineStr">
        <is>
          <t xml:space="preserve">Document Processing with AI Builder in Power Automate</t>
        </is>
      </c>
      <c r="G185" t="inlineStr">
        <is>
          <t xml:space="preserve">Anders Jensen</t>
        </is>
      </c>
      <c r="H185" s="3">
        <v>64926</v>
      </c>
      <c r="I185" t="inlineStr">
        <is>
          <t xml:space="preserve">Streamed 4y ago</t>
        </is>
      </c>
      <c r="J185" t="inlineStr">
        <is>
          <t xml:space="preserve">1:06:31</t>
        </is>
      </c>
      <c r="K185" s="2" t="str">
        <f>HYPERLINK("https://www.youtube.com/watch?v=tmxvLAT3C7s","https://www.youtube.com/watch?v=tmxvLAT3C7s")</f>
        <v>https://www.youtube.com/watch?v=tmxvLAT3C7s</v>
      </c>
      <c r="L185" t="inlineStr">
        <is>
          <t xml:space="preserve">Learn how to use the AI Builder in Microsoft Power Automate. Today's live showcase is about easily doing document processing ...</t>
        </is>
      </c>
      <c r="M185" t="inlineStr">
        <is>
          <t xml:space="preserve">power automate AI builder</t>
        </is>
      </c>
    </row>
    <row r="186">
      <c r="A186" s="3">
        <v>185</v>
      </c>
      <c r="B186" t="inlineStr">
        <is>
          <t xml:space="preserve">Video</t>
        </is>
      </c>
      <c r="C186" t="inlineStr">
        <is>
          <t xml:space="preserve">English</t>
        </is>
      </c>
      <c r="D186" t="inlineStr">
        <is>
          <t xml:space="preserve">Tutorial</t>
        </is>
      </c>
      <c r="E186" t="inlineStr">
        <is>
          <t xml:space="preserve">AI/Copilot</t>
        </is>
      </c>
      <c r="F186" t="inlineStr">
        <is>
          <t xml:space="preserve">Power Automate Copilot demo</t>
        </is>
      </c>
      <c r="G186" t="inlineStr">
        <is>
          <t xml:space="preserve">Microsoft Power Platform</t>
        </is>
      </c>
      <c r="H186" s="3">
        <v>56370</v>
      </c>
      <c r="I186" t="inlineStr">
        <is>
          <t xml:space="preserve">3y ago</t>
        </is>
      </c>
      <c r="J186" t="inlineStr">
        <is>
          <t xml:space="preserve">4:32</t>
        </is>
      </c>
      <c r="K186" s="2" t="str">
        <f>HYPERLINK("https://www.youtube.com/watch?v=Xu-d3CuhCoc","https://www.youtube.com/watch?v=Xu-d3CuhCoc")</f>
        <v>https://www.youtube.com/watch?v=Xu-d3CuhCoc</v>
      </c>
      <c r="L186" t="inlineStr">
        <is>
          <t xml:space="preserve">How to use Power Automate copilot to describe what you need in order to quickly and easily create an automation. Learn more ...</t>
        </is>
      </c>
      <c r="M186" t="inlineStr">
        <is>
          <t xml:space="preserve">power automate copilot</t>
        </is>
      </c>
    </row>
    <row r="187">
      <c r="A187" s="3">
        <v>186</v>
      </c>
      <c r="B187" t="inlineStr">
        <is>
          <t xml:space="preserve">Video</t>
        </is>
      </c>
      <c r="C187" t="inlineStr">
        <is>
          <t xml:space="preserve">English</t>
        </is>
      </c>
      <c r="D187" t="inlineStr">
        <is>
          <t xml:space="preserve">Tutorial</t>
        </is>
      </c>
      <c r="E187" t="inlineStr">
        <is>
          <t xml:space="preserve">Desktop/RPA</t>
        </is>
      </c>
      <c r="F187" t="inlineStr">
        <is>
          <t xml:space="preserve">Power Automate Desktop Introduction - tutorial</t>
        </is>
      </c>
      <c r="G187" t="inlineStr">
        <is>
          <t xml:space="preserve">Reza Dorrani</t>
        </is>
      </c>
      <c r="H187" s="3">
        <v>54213</v>
      </c>
      <c r="I187" t="inlineStr">
        <is>
          <t xml:space="preserve">5y ago</t>
        </is>
      </c>
      <c r="J187" t="inlineStr">
        <is>
          <t xml:space="preserve">20:24</t>
        </is>
      </c>
      <c r="K187" s="2" t="str">
        <f>HYPERLINK("https://www.youtube.com/watch?v=z19CAWq1tK8","https://www.youtube.com/watch?v=z19CAWq1tK8")</f>
        <v>https://www.youtube.com/watch?v=z19CAWq1tK8</v>
      </c>
      <c r="L187" t="inlineStr">
        <is>
          <t xml:space="preserve">In this step-by-step tutorial on Power Automate Desktop, we will learn how to use Microsoft Power Automate Desktop to perform ...</t>
        </is>
      </c>
      <c r="M187" t="inlineStr">
        <is>
          <t xml:space="preserve">power automate desktop</t>
        </is>
      </c>
    </row>
    <row r="188">
      <c r="A188" s="3">
        <v>187</v>
      </c>
      <c r="B188" t="inlineStr">
        <is>
          <t xml:space="preserve">Video</t>
        </is>
      </c>
      <c r="C188" t="inlineStr">
        <is>
          <t xml:space="preserve">English</t>
        </is>
      </c>
      <c r="D188" t="inlineStr">
        <is>
          <t xml:space="preserve">Tutorial</t>
        </is>
      </c>
      <c r="E188" t="inlineStr">
        <is>
          <t xml:space="preserve">Desktop/RPA, AI/Copilot</t>
        </is>
      </c>
      <c r="F188" t="inlineStr">
        <is>
          <t xml:space="preserve">AI Agents (The most INSANE Power Automate Desktop update)</t>
        </is>
      </c>
      <c r="G188" t="inlineStr">
        <is>
          <t xml:space="preserve">Anders Jensen</t>
        </is>
      </c>
      <c r="H188" s="3">
        <v>51145</v>
      </c>
      <c r="I188" t="inlineStr">
        <is>
          <t xml:space="preserve">2y ago</t>
        </is>
      </c>
      <c r="J188" t="inlineStr">
        <is>
          <t xml:space="preserve">18:52</t>
        </is>
      </c>
      <c r="K188" s="2" t="str">
        <f>HYPERLINK("https://www.youtube.com/watch?v=0Q7MLa_5R6I","https://www.youtube.com/watch?v=0Q7MLa_5R6I")</f>
        <v>https://www.youtube.com/watch?v=0Q7MLa_5R6I</v>
      </c>
      <c r="L188" t="inlineStr">
        <is>
          <t xml:space="preserve">This video tutorial teaches you how to use the new AI agent features in Microsoft Power Automate Desktop. We dive into the latest ...</t>
        </is>
      </c>
      <c r="M188" t="inlineStr">
        <is>
          <t xml:space="preserve">power automate desktop project</t>
        </is>
      </c>
    </row>
    <row r="189">
      <c r="A189" s="3">
        <v>188</v>
      </c>
      <c r="B189" t="inlineStr">
        <is>
          <t xml:space="preserve">Video</t>
        </is>
      </c>
      <c r="C189" t="inlineStr">
        <is>
          <t xml:space="preserve">English</t>
        </is>
      </c>
      <c r="D189" t="inlineStr">
        <is>
          <t xml:space="preserve">Tutorial</t>
        </is>
      </c>
      <c r="E189" t="inlineStr">
        <is>
          <t xml:space="preserve">Email/Outlook</t>
        </is>
      </c>
      <c r="F189" t="inlineStr">
        <is>
          <t xml:space="preserve">How to send email from a SHARED mailbox with Power Automate</t>
        </is>
      </c>
      <c r="G189" t="inlineStr">
        <is>
          <t xml:space="preserve">Christine Payton</t>
        </is>
      </c>
      <c r="H189" s="3">
        <v>44655</v>
      </c>
      <c r="I189" t="inlineStr">
        <is>
          <t xml:space="preserve">3y ago</t>
        </is>
      </c>
      <c r="J189" t="inlineStr">
        <is>
          <t xml:space="preserve">4:24</t>
        </is>
      </c>
      <c r="K189" s="2" t="str">
        <f>HYPERLINK("https://www.youtube.com/watch?v=PrVd-f4-m0w","https://www.youtube.com/watch?v=PrVd-f4-m0w")</f>
        <v>https://www.youtube.com/watch?v=PrVd-f4-m0w</v>
      </c>
      <c r="L189" t="inlineStr">
        <is>
          <t xml:space="preserve">Sending emails from a shared mailbox adds polish to your Power Automate workflows! Here's how to configure the permissions ...</t>
        </is>
      </c>
      <c r="M189" t="inlineStr">
        <is>
          <t xml:space="preserve">power automate email automation outlook</t>
        </is>
      </c>
    </row>
    <row r="190">
      <c r="A190" s="3">
        <v>189</v>
      </c>
      <c r="B190" t="inlineStr">
        <is>
          <t xml:space="preserve">Video</t>
        </is>
      </c>
      <c r="C190" t="inlineStr">
        <is>
          <t xml:space="preserve">English</t>
        </is>
      </c>
      <c r="D190" t="inlineStr">
        <is>
          <t xml:space="preserve">Tutorial</t>
        </is>
      </c>
      <c r="E190" t="inlineStr">
        <is>
          <t xml:space="preserve">SharePoint, Email/Outlook</t>
        </is>
      </c>
      <c r="F190" t="inlineStr">
        <is>
          <t xml:space="preserve">Save Outlook Emails &amp; Attachments to SharePoint using PowerAutomate #sharepoint #outlook #flow</t>
        </is>
      </c>
      <c r="G190" t="inlineStr">
        <is>
          <t xml:space="preserve">Deepak Shrivastava</t>
        </is>
      </c>
      <c r="H190" s="3">
        <v>38002</v>
      </c>
      <c r="I190" t="inlineStr">
        <is>
          <t xml:space="preserve">2y ago</t>
        </is>
      </c>
      <c r="J190" t="inlineStr">
        <is>
          <t xml:space="preserve">9:44</t>
        </is>
      </c>
      <c r="K190" s="2" t="str">
        <f>HYPERLINK("https://www.youtube.com/watch?v=Co5oar7d4Qc","https://www.youtube.com/watch?v=Co5oar7d4Qc")</f>
        <v>https://www.youtube.com/watch?v=Co5oar7d4Qc</v>
      </c>
      <c r="L190" t="inlineStr">
        <is>
          <t xml:space="preserve">In this video I will show you how to save outlook emails and its attachments directly to SharePoint using Power Automate.</t>
        </is>
      </c>
      <c r="M190" t="inlineStr">
        <is>
          <t xml:space="preserve">power automate email automation outlook</t>
        </is>
      </c>
    </row>
    <row r="191">
      <c r="A191" s="3">
        <v>190</v>
      </c>
      <c r="B191" t="inlineStr">
        <is>
          <t xml:space="preserve">Video</t>
        </is>
      </c>
      <c r="C191" t="inlineStr">
        <is>
          <t xml:space="preserve">English</t>
        </is>
      </c>
      <c r="D191" t="inlineStr">
        <is>
          <t xml:space="preserve">Tutorial</t>
        </is>
      </c>
      <c r="E191" t="inlineStr">
        <is>
          <t xml:space="preserve">Approvals</t>
        </is>
      </c>
      <c r="F191" t="inlineStr">
        <is>
          <t xml:space="preserve">Track Pending Approvals in Power Automate &amp; Send Reminders | Reusable Workflow</t>
        </is>
      </c>
      <c r="G191" t="inlineStr">
        <is>
          <t xml:space="preserve">Reza Dorrani</t>
        </is>
      </c>
      <c r="H191" s="3">
        <v>37626</v>
      </c>
      <c r="I191" t="inlineStr">
        <is>
          <t xml:space="preserve">1y ago</t>
        </is>
      </c>
      <c r="J191" t="inlineStr">
        <is>
          <t xml:space="preserve">22:47</t>
        </is>
      </c>
      <c r="K191" s="2" t="str">
        <f>HYPERLINK("https://www.youtube.com/watch?v=RD74hzxWoVg","https://www.youtube.com/watch?v=RD74hzxWoVg")</f>
        <v>https://www.youtube.com/watch?v=RD74hzxWoVg</v>
      </c>
      <c r="L191" t="inlineStr">
        <is>
          <t xml:space="preserve">Power Automate Approvals – Struggling to track pending approvals? Learn how to identify which approvers are holding things up ...</t>
        </is>
      </c>
      <c r="M191" t="inlineStr">
        <is>
          <t xml:space="preserve">power automate approval workflow</t>
        </is>
      </c>
    </row>
    <row r="192">
      <c r="A192" s="3">
        <v>191</v>
      </c>
      <c r="B192" t="inlineStr">
        <is>
          <t xml:space="preserve">Video</t>
        </is>
      </c>
      <c r="C192" t="inlineStr">
        <is>
          <t xml:space="preserve">English</t>
        </is>
      </c>
      <c r="D192" t="inlineStr">
        <is>
          <t xml:space="preserve">Tutorial</t>
        </is>
      </c>
      <c r="E192" t="inlineStr">
        <is>
          <t xml:space="preserve">AI/Copilot</t>
        </is>
      </c>
      <c r="F192" t="inlineStr">
        <is>
          <t xml:space="preserve">Using Microsoft Power Automate with Copilot Studio | EP27</t>
        </is>
      </c>
      <c r="G192" t="inlineStr">
        <is>
          <t xml:space="preserve">Microsoft Power Platform</t>
        </is>
      </c>
      <c r="H192" s="3">
        <v>35997</v>
      </c>
      <c r="I192" t="inlineStr">
        <is>
          <t xml:space="preserve">1y ago</t>
        </is>
      </c>
      <c r="J192" t="inlineStr">
        <is>
          <t xml:space="preserve">29:28</t>
        </is>
      </c>
      <c r="K192" s="2" t="str">
        <f>HYPERLINK("https://www.youtube.com/watch?v=JqcxylzMSFY","https://www.youtube.com/watch?v=JqcxylzMSFY")</f>
        <v>https://www.youtube.com/watch?v=JqcxylzMSFY</v>
      </c>
      <c r="L192" t="inlineStr">
        <is>
          <t xml:space="preserve">Get a hands-on look at how your Power Automate skills are a big part of building Custom Agents and Agent flows. You might be ...</t>
        </is>
      </c>
      <c r="M192" t="inlineStr">
        <is>
          <t xml:space="preserve">power automate copilot</t>
        </is>
      </c>
    </row>
    <row r="193">
      <c r="A193" s="3">
        <v>192</v>
      </c>
      <c r="B193" t="inlineStr">
        <is>
          <t xml:space="preserve">Video</t>
        </is>
      </c>
      <c r="C193" t="inlineStr">
        <is>
          <t xml:space="preserve">English</t>
        </is>
      </c>
      <c r="D193" t="inlineStr">
        <is>
          <t xml:space="preserve">Tutorial</t>
        </is>
      </c>
      <c r="E193" t="inlineStr">
        <is>
          <t xml:space="preserve">SharePoint, Approvals</t>
        </is>
      </c>
      <c r="F193" t="inlineStr">
        <is>
          <t xml:space="preserve">Automating Approval Flows with POWER AUTOMATE and SHAREPOINT LISTS</t>
        </is>
      </c>
      <c r="G193" t="inlineStr">
        <is>
          <t xml:space="preserve">Tex-IT</t>
        </is>
      </c>
      <c r="H193" s="3">
        <v>35111</v>
      </c>
      <c r="I193" t="inlineStr">
        <is>
          <t xml:space="preserve">2y ago</t>
        </is>
      </c>
      <c r="J193" t="inlineStr">
        <is>
          <t xml:space="preserve">6:50</t>
        </is>
      </c>
      <c r="K193" s="2" t="str">
        <f>HYPERLINK("https://www.youtube.com/watch?v=TAZF0Thl6Qg","https://www.youtube.com/watch?v=TAZF0Thl6Qg")</f>
        <v>https://www.youtube.com/watch?v=TAZF0Thl6Qg</v>
      </c>
      <c r="L193" t="inlineStr">
        <is>
          <t xml:space="preserve">Automating Approval Flows with Power Automate and SharePoint Lists Description: Welcome to our latest tutorial where we ...</t>
        </is>
      </c>
      <c r="M193" t="inlineStr">
        <is>
          <t xml:space="preserve">power automate approval workflow</t>
        </is>
      </c>
    </row>
    <row r="194">
      <c r="A194" s="3">
        <v>193</v>
      </c>
      <c r="B194" t="inlineStr">
        <is>
          <t xml:space="preserve">Video</t>
        </is>
      </c>
      <c r="C194" t="inlineStr">
        <is>
          <t xml:space="preserve">English</t>
        </is>
      </c>
      <c r="D194" t="inlineStr">
        <is>
          <t xml:space="preserve">Tutorial</t>
        </is>
      </c>
      <c r="E194" t="inlineStr">
        <is>
          <t xml:space="preserve">Email/Outlook</t>
        </is>
      </c>
      <c r="F194" t="inlineStr">
        <is>
          <t xml:space="preserve">How to Send Recurring Emails in Outlook: 5-Minute Power Automate Setup</t>
        </is>
      </c>
      <c r="G194" t="inlineStr">
        <is>
          <t xml:space="preserve">Tom Nassr | XRAY </t>
        </is>
      </c>
      <c r="H194" s="3">
        <v>33007</v>
      </c>
      <c r="I194" t="inlineStr">
        <is>
          <t xml:space="preserve">2y ago</t>
        </is>
      </c>
      <c r="J194" t="inlineStr">
        <is>
          <t xml:space="preserve">11:17</t>
        </is>
      </c>
      <c r="K194" s="2" t="str">
        <f>HYPERLINK("https://www.youtube.com/watch?v=Lv4do4-WqV8","https://www.youtube.com/watch?v=Lv4do4-WqV8")</f>
        <v>https://www.youtube.com/watch?v=Lv4do4-WqV8</v>
      </c>
      <c r="L194" t="inlineStr">
        <is>
          <t xml:space="preserve">If you find yourself sending the same reminder email every day or every week, try automating it to save yourself a little time. In this ...</t>
        </is>
      </c>
      <c r="M194" t="inlineStr">
        <is>
          <t xml:space="preserve">power automate email automation outlook</t>
        </is>
      </c>
    </row>
    <row r="195">
      <c r="A195" s="3">
        <v>194</v>
      </c>
      <c r="B195" t="inlineStr">
        <is>
          <t xml:space="preserve">Video</t>
        </is>
      </c>
      <c r="C195" t="inlineStr">
        <is>
          <t xml:space="preserve">English</t>
        </is>
      </c>
      <c r="D195" t="inlineStr">
        <is>
          <t xml:space="preserve">Tutorial</t>
        </is>
      </c>
      <c r="E195" t="inlineStr">
        <is>
          <t xml:space="preserve">AI/Copilot</t>
        </is>
      </c>
      <c r="F195" t="inlineStr">
        <is>
          <t xml:space="preserve">How to Trigger a Power Automate Flow in Copilot Studio</t>
        </is>
      </c>
      <c r="G195" t="inlineStr">
        <is>
          <t xml:space="preserve">Citizen Developer</t>
        </is>
      </c>
      <c r="H195" s="3">
        <v>31537</v>
      </c>
      <c r="I195" t="inlineStr">
        <is>
          <t xml:space="preserve">1y ago</t>
        </is>
      </c>
      <c r="J195" t="inlineStr">
        <is>
          <t xml:space="preserve">5:55</t>
        </is>
      </c>
      <c r="K195" s="2" t="str">
        <f>HYPERLINK("https://www.youtube.com/watch?v=H-E2kpd5L3M","https://www.youtube.com/watch?v=H-E2kpd5L3M")</f>
        <v>https://www.youtube.com/watch?v=H-E2kpd5L3M</v>
      </c>
      <c r="L195" t="inlineStr">
        <is>
          <t xml:space="preserve">Need Copilot Studio Help⁉️ ➡️ Meet Now: https://calendly.com/citizendeveloper365/one-on-one-coaching Discover how to ...</t>
        </is>
      </c>
      <c r="M195" t="inlineStr">
        <is>
          <t xml:space="preserve">power automate copilot</t>
        </is>
      </c>
    </row>
    <row r="196">
      <c r="A196" s="3">
        <v>195</v>
      </c>
      <c r="B196" t="inlineStr">
        <is>
          <t xml:space="preserve">Video</t>
        </is>
      </c>
      <c r="C196" t="inlineStr">
        <is>
          <t xml:space="preserve">English</t>
        </is>
      </c>
      <c r="D196" t="inlineStr">
        <is>
          <t xml:space="preserve">Tutorial</t>
        </is>
      </c>
      <c r="E196" t="inlineStr">
        <is>
          <t xml:space="preserve">Cloud flows</t>
        </is>
      </c>
      <c r="F196" t="inlineStr">
        <is>
          <t xml:space="preserve">How to create a cloud flow from a template in Power Automate</t>
        </is>
      </c>
      <c r="G196" t="inlineStr">
        <is>
          <t xml:space="preserve">Microsoft Power Platform</t>
        </is>
      </c>
      <c r="H196" s="3">
        <v>30523</v>
      </c>
      <c r="I196" t="inlineStr">
        <is>
          <t xml:space="preserve">5y ago</t>
        </is>
      </c>
      <c r="J196" t="inlineStr">
        <is>
          <t xml:space="preserve">4:19</t>
        </is>
      </c>
      <c r="K196" s="2" t="str">
        <f>HYPERLINK("https://www.youtube.com/watch?v=NUyTzZXK3DA","https://www.youtube.com/watch?v=NUyTzZXK3DA")</f>
        <v>https://www.youtube.com/watch?v=NUyTzZXK3DA</v>
      </c>
      <c r="L196" t="inlineStr">
        <is>
          <t xml:space="preserve">In this video, you'll learn about how to find the right template for your scenario. Power Automate has over 100+ prebuilt templates ...</t>
        </is>
      </c>
      <c r="M196" t="inlineStr">
        <is>
          <t xml:space="preserve">power automate cloud flow tutorial</t>
        </is>
      </c>
    </row>
    <row r="197">
      <c r="A197" s="3">
        <v>196</v>
      </c>
      <c r="B197" t="inlineStr">
        <is>
          <t xml:space="preserve">Video</t>
        </is>
      </c>
      <c r="C197" t="inlineStr">
        <is>
          <t xml:space="preserve">English</t>
        </is>
      </c>
      <c r="D197" t="inlineStr">
        <is>
          <t xml:space="preserve">Tutorial</t>
        </is>
      </c>
      <c r="E197" t="inlineStr">
        <is>
          <t xml:space="preserve">AI/Copilot</t>
        </is>
      </c>
      <c r="F197" t="inlineStr">
        <is>
          <t xml:space="preserve">Power Automate Copilot: The Ultimate AI Automation Game-Changer</t>
        </is>
      </c>
      <c r="G197" t="inlineStr">
        <is>
          <t xml:space="preserve">Pragmatic Works</t>
        </is>
      </c>
      <c r="H197" s="3">
        <v>29904</v>
      </c>
      <c r="I197" t="inlineStr">
        <is>
          <t xml:space="preserve">1y ago</t>
        </is>
      </c>
      <c r="J197" t="inlineStr">
        <is>
          <t xml:space="preserve">10:47</t>
        </is>
      </c>
      <c r="K197" s="2" t="str">
        <f>HYPERLINK("https://www.youtube.com/watch?v=HSTfiu0JlbM","https://www.youtube.com/watch?v=HSTfiu0JlbM")</f>
        <v>https://www.youtube.com/watch?v=HSTfiu0JlbM</v>
      </c>
      <c r="L197" t="inlineStr">
        <is>
          <t xml:space="preserve">In this tutorial, we explore the incredible Copilot in Power Automate! Learn how AI can transform your workflows and automate ...</t>
        </is>
      </c>
      <c r="M197" t="inlineStr">
        <is>
          <t xml:space="preserve">power automate copilot</t>
        </is>
      </c>
    </row>
    <row r="198">
      <c r="A198" s="3">
        <v>197</v>
      </c>
      <c r="B198" t="inlineStr">
        <is>
          <t xml:space="preserve">Video</t>
        </is>
      </c>
      <c r="C198" t="inlineStr">
        <is>
          <t xml:space="preserve">English</t>
        </is>
      </c>
      <c r="D198" t="inlineStr">
        <is>
          <t xml:space="preserve">Tutorial</t>
        </is>
      </c>
      <c r="E198" t="inlineStr">
        <is>
          <t xml:space="preserve">SharePoint, Email/Outlook</t>
        </is>
      </c>
      <c r="F198" t="inlineStr">
        <is>
          <t xml:space="preserve">How you can automate the processing of invoices with Outlook, PowerAutomate and SharePoint</t>
        </is>
      </c>
      <c r="G198" t="inlineStr">
        <is>
          <t xml:space="preserve">Daniel Anderson</t>
        </is>
      </c>
      <c r="H198" s="3">
        <v>29542</v>
      </c>
      <c r="I198" t="inlineStr">
        <is>
          <t xml:space="preserve">6y ago</t>
        </is>
      </c>
      <c r="J198" t="inlineStr">
        <is>
          <t xml:space="preserve">6:57</t>
        </is>
      </c>
      <c r="K198" s="2" t="str">
        <f>HYPERLINK("https://www.youtube.com/watch?v=t3VfkRF0G1A","https://www.youtube.com/watch?v=t3VfkRF0G1A")</f>
        <v>https://www.youtube.com/watch?v=t3VfkRF0G1A</v>
      </c>
      <c r="L198" t="inlineStr">
        <is>
          <t xml:space="preserve">G'day everyone, Daniel here. Let's take a look at how we can automate the process of receiving invoices via email and then ...</t>
        </is>
      </c>
      <c r="M198" t="inlineStr">
        <is>
          <t xml:space="preserve">power automate sharepoint automation</t>
        </is>
      </c>
    </row>
    <row r="199">
      <c r="A199" s="3">
        <v>198</v>
      </c>
      <c r="B199" t="inlineStr">
        <is>
          <t xml:space="preserve">Video</t>
        </is>
      </c>
      <c r="C199" t="inlineStr">
        <is>
          <t xml:space="preserve">English</t>
        </is>
      </c>
      <c r="D199" t="inlineStr">
        <is>
          <t xml:space="preserve">Tutorial</t>
        </is>
      </c>
      <c r="E199" t="inlineStr">
        <is>
          <t xml:space="preserve">SharePoint</t>
        </is>
      </c>
      <c r="F199" t="inlineStr">
        <is>
          <t xml:space="preserve">SharePoint Permissions with Power Automate</t>
        </is>
      </c>
      <c r="G199" t="inlineStr">
        <is>
          <t xml:space="preserve">Deepak Shrivastava</t>
        </is>
      </c>
      <c r="H199" s="3">
        <v>28976</v>
      </c>
      <c r="I199" t="inlineStr">
        <is>
          <t xml:space="preserve">5y ago</t>
        </is>
      </c>
      <c r="J199" t="inlineStr">
        <is>
          <t xml:space="preserve">20:14</t>
        </is>
      </c>
      <c r="K199" s="2" t="str">
        <f>HYPERLINK("https://www.youtube.com/watch?v=m1wYjAyJ_YU","https://www.youtube.com/watch?v=m1wYjAyJ_YU")</f>
        <v>https://www.youtube.com/watch?v=m1wYjAyJ_YU</v>
      </c>
      <c r="L199" t="inlineStr">
        <is>
          <t xml:space="preserve">This video will show you how you can manage SharePoint list /library permissions using Power Automate. You will learn: 00:00 ...</t>
        </is>
      </c>
      <c r="M199" t="inlineStr">
        <is>
          <t xml:space="preserve">power automate sharepoint automation</t>
        </is>
      </c>
    </row>
    <row r="200">
      <c r="A200" s="3">
        <v>199</v>
      </c>
      <c r="B200" t="inlineStr">
        <is>
          <t xml:space="preserve">Video</t>
        </is>
      </c>
      <c r="C200" t="inlineStr">
        <is>
          <t xml:space="preserve">English</t>
        </is>
      </c>
      <c r="D200" t="inlineStr">
        <is>
          <t xml:space="preserve">Tutorial</t>
        </is>
      </c>
      <c r="E200" t="inlineStr">
        <is>
          <t xml:space="preserve">SharePoint</t>
        </is>
      </c>
      <c r="F200" t="inlineStr">
        <is>
          <t xml:space="preserve">Power Automate - Create New SharePoint Folder!</t>
        </is>
      </c>
      <c r="G200" t="inlineStr">
        <is>
          <t xml:space="preserve">Jibbs Automations</t>
        </is>
      </c>
      <c r="H200" s="3">
        <v>28295</v>
      </c>
      <c r="I200" t="inlineStr">
        <is>
          <t xml:space="preserve">2y ago</t>
        </is>
      </c>
      <c r="J200" t="inlineStr">
        <is>
          <t xml:space="preserve">4:37</t>
        </is>
      </c>
      <c r="K200" s="2" t="str">
        <f>HYPERLINK("https://www.youtube.com/watch?v=DxNNk8louHo","https://www.youtube.com/watch?v=DxNNk8louHo")</f>
        <v>https://www.youtube.com/watch?v=DxNNk8louHo</v>
      </c>
      <c r="L200" t="inlineStr">
        <is>
          <t xml:space="preserve">Follow along to create a new folder in SharePoint with the current date in the file name! More Power Automate videos here: ...</t>
        </is>
      </c>
      <c r="M200" t="inlineStr">
        <is>
          <t xml:space="preserve">power automate sharepoint automation</t>
        </is>
      </c>
    </row>
    <row r="201">
      <c r="A201" s="3">
        <v>200</v>
      </c>
      <c r="B201" t="inlineStr">
        <is>
          <t xml:space="preserve">Video</t>
        </is>
      </c>
      <c r="C201" t="inlineStr">
        <is>
          <t xml:space="preserve">English</t>
        </is>
      </c>
      <c r="D201" t="inlineStr">
        <is>
          <t xml:space="preserve">Tutorial</t>
        </is>
      </c>
      <c r="E201" t="inlineStr">
        <is>
          <t xml:space="preserve">Desktop/RPA, Excel, Email/Outlook</t>
        </is>
      </c>
      <c r="F201" t="inlineStr">
        <is>
          <t xml:space="preserve">How to Send Dynamic Emails with Power Automate Desktop</t>
        </is>
      </c>
      <c r="G201" t="inlineStr">
        <is>
          <t xml:space="preserve">Anders Jensen</t>
        </is>
      </c>
      <c r="H201" s="3">
        <v>27088</v>
      </c>
      <c r="I201" t="inlineStr">
        <is>
          <t xml:space="preserve">3y ago</t>
        </is>
      </c>
      <c r="J201" t="inlineStr">
        <is>
          <t xml:space="preserve">9:19</t>
        </is>
      </c>
      <c r="K201" s="2" t="str">
        <f>HYPERLINK("https://www.youtube.com/watch?v=5bHhl1_jVoE","https://www.youtube.com/watch?v=5bHhl1_jVoE")</f>
        <v>https://www.youtube.com/watch?v=5bHhl1_jVoE</v>
      </c>
      <c r="L201" t="inlineStr">
        <is>
          <t xml:space="preserve">This tutorial shows how to send dynamic Outlook emails with Microsoft Power Automate Desktop. We'll loop through an Excel ...</t>
        </is>
      </c>
      <c r="M201" t="inlineStr">
        <is>
          <t xml:space="preserve">power automate email automation outlook</t>
        </is>
      </c>
    </row>
    <row r="202">
      <c r="A202" s="3">
        <v>201</v>
      </c>
      <c r="B202" t="inlineStr">
        <is>
          <t xml:space="preserve">Video</t>
        </is>
      </c>
      <c r="C202" t="inlineStr">
        <is>
          <t xml:space="preserve">English</t>
        </is>
      </c>
      <c r="D202" t="inlineStr">
        <is>
          <t xml:space="preserve">Tutorial</t>
        </is>
      </c>
      <c r="E202" t="inlineStr">
        <is>
          <t xml:space="preserve">AI/Copilot</t>
        </is>
      </c>
      <c r="F202" t="inlineStr">
        <is>
          <t xml:space="preserve">Copilot in Power Automate</t>
        </is>
      </c>
      <c r="G202" t="inlineStr">
        <is>
          <t xml:space="preserve">Microsoft Power Automate</t>
        </is>
      </c>
      <c r="H202" s="3">
        <v>23687</v>
      </c>
      <c r="I202" t="inlineStr">
        <is>
          <t xml:space="preserve">2y ago</t>
        </is>
      </c>
      <c r="J202" t="inlineStr">
        <is>
          <t xml:space="preserve">0:35</t>
        </is>
      </c>
      <c r="K202" s="2" t="str">
        <f>HYPERLINK("https://www.youtube.com/watch?v=dMrZ96UNsXo","https://www.youtube.com/watch?v=dMrZ96UNsXo")</f>
        <v>https://www.youtube.com/watch?v=dMrZ96UNsXo</v>
      </c>
      <c r="L202" t="inlineStr">
        <is>
          <t xml:space="preserve">Copilot in Power Automate helps you discover, create, optimize, and orchestrate automation faster with the power of low-code and ...</t>
        </is>
      </c>
      <c r="M202" t="inlineStr">
        <is>
          <t xml:space="preserve">power automate copilot</t>
        </is>
      </c>
    </row>
    <row r="203">
      <c r="A203" s="3">
        <v>202</v>
      </c>
      <c r="B203" t="inlineStr">
        <is>
          <t xml:space="preserve">Video</t>
        </is>
      </c>
      <c r="C203" t="inlineStr">
        <is>
          <t xml:space="preserve">English</t>
        </is>
      </c>
      <c r="D203" t="inlineStr">
        <is>
          <t xml:space="preserve">Tutorial</t>
        </is>
      </c>
      <c r="E203" t="inlineStr">
        <is>
          <t xml:space="preserve">SharePoint</t>
        </is>
      </c>
      <c r="F203" t="inlineStr">
        <is>
          <t xml:space="preserve">Power Automate Flow when an Item is Created or Modified in SharePoint List | SharePoint Training</t>
        </is>
      </c>
      <c r="G203" t="inlineStr">
        <is>
          <t xml:space="preserve">Office365Concepts</t>
        </is>
      </c>
      <c r="H203" s="3">
        <v>22494</v>
      </c>
      <c r="I203" t="inlineStr">
        <is>
          <t xml:space="preserve">2y ago</t>
        </is>
      </c>
      <c r="J203" t="inlineStr">
        <is>
          <t xml:space="preserve">17:42</t>
        </is>
      </c>
      <c r="K203" s="2" t="str">
        <f>HYPERLINK("https://www.youtube.com/watch?v=FnQVz8w3ye0","https://www.youtube.com/watch?v=FnQVz8w3ye0")</f>
        <v>https://www.youtube.com/watch?v=FnQVz8w3ye0</v>
      </c>
      <c r="L203" t="inlineStr">
        <is>
          <t xml:space="preserve">Follow our blogs on https://office365concepts.com/ Membership is available on this channel: ...</t>
        </is>
      </c>
      <c r="M203" t="inlineStr">
        <is>
          <t xml:space="preserve">power automate sharepoint automation</t>
        </is>
      </c>
    </row>
    <row r="204">
      <c r="A204" s="3">
        <v>203</v>
      </c>
      <c r="B204" t="inlineStr">
        <is>
          <t xml:space="preserve">Video</t>
        </is>
      </c>
      <c r="C204" t="inlineStr">
        <is>
          <t xml:space="preserve">English</t>
        </is>
      </c>
      <c r="D204" t="inlineStr">
        <is>
          <t xml:space="preserve">Tutorial</t>
        </is>
      </c>
      <c r="E204" t="inlineStr">
        <is>
          <t xml:space="preserve">Approvals</t>
        </is>
      </c>
      <c r="F204" t="inlineStr">
        <is>
          <t xml:space="preserve">Approval Flows in Power Automate  - Beginners Tutorial</t>
        </is>
      </c>
      <c r="G204" t="inlineStr">
        <is>
          <t xml:space="preserve">Anders Jensen</t>
        </is>
      </c>
      <c r="H204" s="3">
        <v>22371</v>
      </c>
      <c r="I204" t="inlineStr">
        <is>
          <t xml:space="preserve">3y ago</t>
        </is>
      </c>
      <c r="J204" t="inlineStr">
        <is>
          <t xml:space="preserve">48:06</t>
        </is>
      </c>
      <c r="K204" s="2" t="str">
        <f>HYPERLINK("https://www.youtube.com/watch?v=3FfcKUdlKK8","https://www.youtube.com/watch?v=3FfcKUdlKK8")</f>
        <v>https://www.youtube.com/watch?v=3FfcKUdlKK8</v>
      </c>
      <c r="L204" t="inlineStr">
        <is>
          <t xml:space="preserve">Learn how to create advanced approval flows in Microsoft Power Automate. With this tutorial for beginners, you learn to set up an ...</t>
        </is>
      </c>
      <c r="M204" t="inlineStr">
        <is>
          <t xml:space="preserve">power automate approval workflow</t>
        </is>
      </c>
    </row>
    <row r="205">
      <c r="A205" s="3">
        <v>204</v>
      </c>
      <c r="B205" t="inlineStr">
        <is>
          <t xml:space="preserve">Video</t>
        </is>
      </c>
      <c r="C205" t="inlineStr">
        <is>
          <t xml:space="preserve">English</t>
        </is>
      </c>
      <c r="D205" t="inlineStr">
        <is>
          <t xml:space="preserve">Tutorial</t>
        </is>
      </c>
      <c r="E205" t="inlineStr">
        <is>
          <t xml:space="preserve">Desktop/RPA, AI/Copilot</t>
        </is>
      </c>
      <c r="F205" t="inlineStr">
        <is>
          <t xml:space="preserve">Microsoft Power Automate Tutorials || Module 21 : Invoice process With AI Builder ( Form Processing)</t>
        </is>
      </c>
      <c r="G205" t="inlineStr">
        <is>
          <t xml:space="preserve">Learn RPA &amp; AI Technologies every day</t>
        </is>
      </c>
      <c r="H205" s="3">
        <v>22371</v>
      </c>
      <c r="I205" t="inlineStr">
        <is>
          <t xml:space="preserve">5y ago</t>
        </is>
      </c>
      <c r="J205" t="inlineStr">
        <is>
          <t xml:space="preserve">20:13</t>
        </is>
      </c>
      <c r="K205" s="2" t="str">
        <f>HYPERLINK("https://www.youtube.com/watch?v=K0Fj7WZdRng","https://www.youtube.com/watch?v=K0Fj7WZdRng")</f>
        <v>https://www.youtube.com/watch?v=K0Fj7WZdRng</v>
      </c>
      <c r="L205" t="inlineStr">
        <is>
          <t xml:space="preserve">Microsoft #Microsoftpowerautomate #Microsoftflow #PowerAutomate #RPA #PowerRPA #AIBuilder ...</t>
        </is>
      </c>
      <c r="M205" t="inlineStr">
        <is>
          <t xml:space="preserve">power automate AI builder</t>
        </is>
      </c>
    </row>
    <row r="206">
      <c r="A206" s="3">
        <v>205</v>
      </c>
      <c r="B206" t="inlineStr">
        <is>
          <t xml:space="preserve">Video</t>
        </is>
      </c>
      <c r="C206" t="inlineStr">
        <is>
          <t xml:space="preserve">English</t>
        </is>
      </c>
      <c r="D206" t="inlineStr">
        <is>
          <t xml:space="preserve">Tutorial</t>
        </is>
      </c>
      <c r="E206" t="inlineStr">
        <is>
          <t xml:space="preserve">Approvals, AI/Copilot</t>
        </is>
      </c>
      <c r="F206" t="inlineStr">
        <is>
          <t xml:space="preserve">Build Power Automate Approval flow with Copilot | Tutorial</t>
        </is>
      </c>
      <c r="G206" t="inlineStr">
        <is>
          <t xml:space="preserve">Reza Dorrani</t>
        </is>
      </c>
      <c r="H206" s="3">
        <v>19739</v>
      </c>
      <c r="I206" t="inlineStr">
        <is>
          <t xml:space="preserve">2y ago</t>
        </is>
      </c>
      <c r="J206" t="inlineStr">
        <is>
          <t xml:space="preserve">10:00</t>
        </is>
      </c>
      <c r="K206" s="2" t="str">
        <f>HYPERLINK("https://www.youtube.com/watch?v=zSAyf3WUNdA","https://www.youtube.com/watch?v=zSAyf3WUNdA")</f>
        <v>https://www.youtube.com/watch?v=zSAyf3WUNdA</v>
      </c>
      <c r="L206" t="inlineStr">
        <is>
          <t xml:space="preserve">Discover how to streamline your workflow creation with the new Copilot chat experience in Power Automate! This tutorial shows ...</t>
        </is>
      </c>
      <c r="M206" t="inlineStr">
        <is>
          <t xml:space="preserve">power automate approval workflow</t>
        </is>
      </c>
    </row>
    <row r="207">
      <c r="A207" s="3">
        <v>206</v>
      </c>
      <c r="B207" t="inlineStr">
        <is>
          <t xml:space="preserve">Video</t>
        </is>
      </c>
      <c r="C207" t="inlineStr">
        <is>
          <t xml:space="preserve">English</t>
        </is>
      </c>
      <c r="D207" t="inlineStr">
        <is>
          <t xml:space="preserve">Tutorial</t>
        </is>
      </c>
      <c r="E207" t="inlineStr">
        <is>
          <t xml:space="preserve"/>
        </is>
      </c>
      <c r="F207" t="inlineStr">
        <is>
          <t xml:space="preserve">Power Automate Tutorial For Beginners | Microsoft Power Automate Tutorial 2026 | Simplilearn</t>
        </is>
      </c>
      <c r="G207" t="inlineStr">
        <is>
          <t xml:space="preserve">Simplilearn</t>
        </is>
      </c>
      <c r="H207" s="3">
        <v>19104</v>
      </c>
      <c r="I207" t="inlineStr">
        <is>
          <t xml:space="preserve">1y ago</t>
        </is>
      </c>
      <c r="J207" t="inlineStr">
        <is>
          <t xml:space="preserve">9:11</t>
        </is>
      </c>
      <c r="K207" s="2" t="str">
        <f>HYPERLINK("https://www.youtube.com/watch?v=xNEa-e0Whas","https://www.youtube.com/watch?v=xNEa-e0Whas")</f>
        <v>https://www.youtube.com/watch?v=xNEa-e0Whas</v>
      </c>
      <c r="L207" t="inlineStr">
        <is>
          <t xml:space="preserve">"️ IBM - Data Analyst ...</t>
        </is>
      </c>
      <c r="M207" t="inlineStr">
        <is>
          <t xml:space="preserve">power automate tutorial for beginners</t>
        </is>
      </c>
    </row>
    <row r="208">
      <c r="A208" s="3">
        <v>207</v>
      </c>
      <c r="B208" t="inlineStr">
        <is>
          <t xml:space="preserve">Video</t>
        </is>
      </c>
      <c r="C208" t="inlineStr">
        <is>
          <t xml:space="preserve">English</t>
        </is>
      </c>
      <c r="D208" t="inlineStr">
        <is>
          <t xml:space="preserve">Tutorial</t>
        </is>
      </c>
      <c r="E208" t="inlineStr">
        <is>
          <t xml:space="preserve">AI/Copilot</t>
        </is>
      </c>
      <c r="F208" t="inlineStr">
        <is>
          <t xml:space="preserve">Microsoft AI Builder Tutorial for Beginners | Power Automate Workflow Integration</t>
        </is>
      </c>
      <c r="G208" t="inlineStr">
        <is>
          <t xml:space="preserve">Lui Iacobellis</t>
        </is>
      </c>
      <c r="H208" s="3">
        <v>19038</v>
      </c>
      <c r="I208" t="inlineStr">
        <is>
          <t xml:space="preserve">1y ago</t>
        </is>
      </c>
      <c r="J208" t="inlineStr">
        <is>
          <t xml:space="preserve">12:58</t>
        </is>
      </c>
      <c r="K208" s="2" t="str">
        <f>HYPERLINK("https://www.youtube.com/watch?v=lA3Mh84K5fM","https://www.youtube.com/watch?v=lA3Mh84K5fM")</f>
        <v>https://www.youtube.com/watch?v=lA3Mh84K5fM</v>
      </c>
      <c r="L208" t="inlineStr">
        <is>
          <t xml:space="preserve">This tutorial provides a beginner-friendly introduction to Microsoft AI Builder training. It features practical microsoft ai builder ...</t>
        </is>
      </c>
      <c r="M208" t="inlineStr">
        <is>
          <t xml:space="preserve">power automate AI builder</t>
        </is>
      </c>
    </row>
    <row r="209">
      <c r="A209" s="3">
        <v>208</v>
      </c>
      <c r="B209" t="inlineStr">
        <is>
          <t xml:space="preserve">Video</t>
        </is>
      </c>
      <c r="C209" t="inlineStr">
        <is>
          <t xml:space="preserve">English</t>
        </is>
      </c>
      <c r="D209" t="inlineStr">
        <is>
          <t xml:space="preserve">Tutorial</t>
        </is>
      </c>
      <c r="E209" t="inlineStr">
        <is>
          <t xml:space="preserve">Desktop/RPA</t>
        </is>
      </c>
      <c r="F209" t="inlineStr">
        <is>
          <t xml:space="preserve">Power Automate Desktop</t>
        </is>
      </c>
      <c r="G209" t="inlineStr">
        <is>
          <t xml:space="preserve">Microsoft Power Platform</t>
        </is>
      </c>
      <c r="H209" s="3">
        <v>18012</v>
      </c>
      <c r="I209" t="inlineStr">
        <is>
          <t xml:space="preserve">5y ago</t>
        </is>
      </c>
      <c r="J209" t="inlineStr">
        <is>
          <t xml:space="preserve">1:00</t>
        </is>
      </c>
      <c r="K209" s="2" t="str">
        <f>HYPERLINK("https://www.youtube.com/watch?v=lwpAvKkk2Hc","https://www.youtube.com/watch?v=lwpAvKkk2Hc")</f>
        <v>https://www.youtube.com/watch?v=lwpAvKkk2Hc</v>
      </c>
      <c r="L209" t="inlineStr">
        <is>
          <t xml:space="preserve">Easily automate anything from your desktop. Now available for Windows 10 users at no additional cost.</t>
        </is>
      </c>
      <c r="M209" t="inlineStr">
        <is>
          <t xml:space="preserve">power automate desktop</t>
        </is>
      </c>
    </row>
    <row r="210">
      <c r="A210" s="3">
        <v>209</v>
      </c>
      <c r="B210" t="inlineStr">
        <is>
          <t xml:space="preserve">Video</t>
        </is>
      </c>
      <c r="C210" t="inlineStr">
        <is>
          <t xml:space="preserve">English</t>
        </is>
      </c>
      <c r="D210" t="inlineStr">
        <is>
          <t xml:space="preserve">Tutorial</t>
        </is>
      </c>
      <c r="E210" t="inlineStr">
        <is>
          <t xml:space="preserve"/>
        </is>
      </c>
      <c r="F210" t="inlineStr">
        <is>
          <t xml:space="preserve">Getting Started with Power Automate for Beginners</t>
        </is>
      </c>
      <c r="G210" t="inlineStr">
        <is>
          <t xml:space="preserve">Heather Majors</t>
        </is>
      </c>
      <c r="H210" s="3">
        <v>16028</v>
      </c>
      <c r="I210" t="inlineStr">
        <is>
          <t xml:space="preserve">7mo ago</t>
        </is>
      </c>
      <c r="J210" t="inlineStr">
        <is>
          <t xml:space="preserve">12:44</t>
        </is>
      </c>
      <c r="K210" s="2" t="str">
        <f>HYPERLINK("https://www.youtube.com/watch?v=ov7AG1VfNHE","https://www.youtube.com/watch?v=ov7AG1VfNHE")</f>
        <v>https://www.youtube.com/watch?v=ov7AG1VfNHE</v>
      </c>
      <c r="L210" t="inlineStr">
        <is>
          <t xml:space="preserve">This video is a getting started guide for Power Automate. It is the first in a mini series that looks at how to use Power Automate from ...</t>
        </is>
      </c>
      <c r="M210" t="inlineStr">
        <is>
          <t xml:space="preserve">power automate tutorial for beginners</t>
        </is>
      </c>
    </row>
    <row r="211">
      <c r="A211" s="3">
        <v>210</v>
      </c>
      <c r="B211" t="inlineStr">
        <is>
          <t xml:space="preserve">Video</t>
        </is>
      </c>
      <c r="C211" t="inlineStr">
        <is>
          <t xml:space="preserve">English</t>
        </is>
      </c>
      <c r="D211" t="inlineStr">
        <is>
          <t xml:space="preserve">Tutorial</t>
        </is>
      </c>
      <c r="E211" t="inlineStr">
        <is>
          <t xml:space="preserve">Desktop/RPA, Excel</t>
        </is>
      </c>
      <c r="F211" t="inlineStr">
        <is>
          <t xml:space="preserve">Automate Excel with Power Automate Desktop (Full Beginner Tutorial)</t>
        </is>
      </c>
      <c r="G211" t="inlineStr">
        <is>
          <t xml:space="preserve">Anders Jensen</t>
        </is>
      </c>
      <c r="H211" s="3">
        <v>15804</v>
      </c>
      <c r="I211" t="inlineStr">
        <is>
          <t xml:space="preserve">5mo ago</t>
        </is>
      </c>
      <c r="J211" t="inlineStr">
        <is>
          <t xml:space="preserve">16:24</t>
        </is>
      </c>
      <c r="K211" s="2" t="str">
        <f>HYPERLINK("https://www.youtube.com/watch?v=ycYMznbRwEQ","https://www.youtube.com/watch?v=ycYMznbRwEQ")</f>
        <v>https://www.youtube.com/watch?v=ycYMznbRwEQ</v>
      </c>
      <c r="L211" t="inlineStr">
        <is>
          <t xml:space="preserve">Automate Excel with Power Automate Desktop by reading a timesheet into a data table, looping through the rows and typing each ...</t>
        </is>
      </c>
      <c r="M211" t="inlineStr">
        <is>
          <t xml:space="preserve">power automate excel automation ; power automate desktop</t>
        </is>
      </c>
    </row>
    <row r="212">
      <c r="A212" s="3">
        <v>211</v>
      </c>
      <c r="B212" t="inlineStr">
        <is>
          <t xml:space="preserve">Video</t>
        </is>
      </c>
      <c r="C212" t="inlineStr">
        <is>
          <t xml:space="preserve">English</t>
        </is>
      </c>
      <c r="D212" t="inlineStr">
        <is>
          <t xml:space="preserve">Tutorial</t>
        </is>
      </c>
      <c r="E212" t="inlineStr">
        <is>
          <t xml:space="preserve">Cloud flows, Power Apps</t>
        </is>
      </c>
      <c r="F212" t="inlineStr">
        <is>
          <t xml:space="preserve">Power Apps Code Apps + Power Automate Flows 🚀  (NEW feature)</t>
        </is>
      </c>
      <c r="G212" t="inlineStr">
        <is>
          <t xml:space="preserve">Reza Dorrani</t>
        </is>
      </c>
      <c r="H212" s="3">
        <v>15535</v>
      </c>
      <c r="I212" t="inlineStr">
        <is>
          <t xml:space="preserve">4mo ago</t>
        </is>
      </c>
      <c r="J212" t="inlineStr">
        <is>
          <t xml:space="preserve">22:40</t>
        </is>
      </c>
      <c r="K212" s="2" t="str">
        <f>HYPERLINK("https://www.youtube.com/watch?v=1wvJbhp3_oE","https://www.youtube.com/watch?v=1wvJbhp3_oE")</f>
        <v>https://www.youtube.com/watch?v=1wvJbhp3_oE</v>
      </c>
      <c r="L212" t="inlineStr">
        <is>
          <t xml:space="preserve">Power Apps Code Apps just unlocked one of the most-requested capabilities: calling Power Automate cloud flows directly from ...</t>
        </is>
      </c>
      <c r="M212" t="inlineStr">
        <is>
          <t xml:space="preserve">power apps power automate project</t>
        </is>
      </c>
    </row>
    <row r="213">
      <c r="A213" s="3">
        <v>212</v>
      </c>
      <c r="B213" t="inlineStr">
        <is>
          <t xml:space="preserve">Video</t>
        </is>
      </c>
      <c r="C213" t="inlineStr">
        <is>
          <t xml:space="preserve">English</t>
        </is>
      </c>
      <c r="D213" t="inlineStr">
        <is>
          <t xml:space="preserve">Tutorial</t>
        </is>
      </c>
      <c r="E213" t="inlineStr">
        <is>
          <t xml:space="preserve">Approvals</t>
        </is>
      </c>
      <c r="F213" t="inlineStr">
        <is>
          <t xml:space="preserve">Power Automate Approval Workflows Explained! 💡 Build Smart Flows Fast</t>
        </is>
      </c>
      <c r="G213" t="inlineStr">
        <is>
          <t xml:space="preserve">Pragmatic Works</t>
        </is>
      </c>
      <c r="H213" s="3">
        <v>15180</v>
      </c>
      <c r="I213" t="inlineStr">
        <is>
          <t xml:space="preserve">1y ago</t>
        </is>
      </c>
      <c r="J213" t="inlineStr">
        <is>
          <t xml:space="preserve">53:13</t>
        </is>
      </c>
      <c r="K213" s="2" t="str">
        <f>HYPERLINK("https://www.youtube.com/watch?v=uqdfGNKM5Os","https://www.youtube.com/watch?v=uqdfGNKM5Os")</f>
        <v>https://www.youtube.com/watch?v=uqdfGNKM5Os</v>
      </c>
      <c r="L213" t="inlineStr">
        <is>
          <t xml:space="preserve">Ready to master Power Automate Approval Workflows? This video is your complete guide to building smart, automated flows ...</t>
        </is>
      </c>
      <c r="M213" t="inlineStr">
        <is>
          <t xml:space="preserve">power automate approval workflow</t>
        </is>
      </c>
    </row>
    <row r="214">
      <c r="A214" s="3">
        <v>213</v>
      </c>
      <c r="B214" t="inlineStr">
        <is>
          <t xml:space="preserve">Video</t>
        </is>
      </c>
      <c r="C214" t="inlineStr">
        <is>
          <t xml:space="preserve">English</t>
        </is>
      </c>
      <c r="D214" t="inlineStr">
        <is>
          <t xml:space="preserve">Tutorial</t>
        </is>
      </c>
      <c r="E214" t="inlineStr">
        <is>
          <t xml:space="preserve">Email/Outlook</t>
        </is>
      </c>
      <c r="F214" t="inlineStr">
        <is>
          <t xml:space="preserve">How to Send Emails Like a Pro with Power Automate!</t>
        </is>
      </c>
      <c r="G214" t="inlineStr">
        <is>
          <t xml:space="preserve">That Office Guy</t>
        </is>
      </c>
      <c r="H214" s="3">
        <v>14819</v>
      </c>
      <c r="I214" t="inlineStr">
        <is>
          <t xml:space="preserve">1y ago</t>
        </is>
      </c>
      <c r="J214" t="inlineStr">
        <is>
          <t xml:space="preserve">8:43</t>
        </is>
      </c>
      <c r="K214" s="2" t="str">
        <f>HYPERLINK("https://www.youtube.com/watch?v=WKRXEIRCotQ","https://www.youtube.com/watch?v=WKRXEIRCotQ")</f>
        <v>https://www.youtube.com/watch?v=WKRXEIRCotQ</v>
      </c>
      <c r="L214" t="inlineStr">
        <is>
          <t xml:space="preserve">Revolutionize Your Email Workflow with This Simple Trick - How to Send Emails Like a Pro with Power Automate! Unlock the full ...</t>
        </is>
      </c>
      <c r="M214" t="inlineStr">
        <is>
          <t xml:space="preserve">power automate email automation outlook</t>
        </is>
      </c>
    </row>
    <row r="215">
      <c r="A215" s="3">
        <v>214</v>
      </c>
      <c r="B215" t="inlineStr">
        <is>
          <t xml:space="preserve">Video</t>
        </is>
      </c>
      <c r="C215" t="inlineStr">
        <is>
          <t xml:space="preserve">English</t>
        </is>
      </c>
      <c r="D215" t="inlineStr">
        <is>
          <t xml:space="preserve">Tutorial</t>
        </is>
      </c>
      <c r="E215" t="inlineStr">
        <is>
          <t xml:space="preserve">AI/Copilot</t>
        </is>
      </c>
      <c r="F215" t="inlineStr">
        <is>
          <t xml:space="preserve">Power Automate AI Builder Invoice Processing | AI Builder Invoice Processing | AI Builder Tutorial</t>
        </is>
      </c>
      <c r="G215" t="inlineStr">
        <is>
          <t xml:space="preserve">EasyWay2Learn</t>
        </is>
      </c>
      <c r="H215" s="3">
        <v>14108</v>
      </c>
      <c r="I215" t="inlineStr">
        <is>
          <t xml:space="preserve">2y ago</t>
        </is>
      </c>
      <c r="J215" t="inlineStr">
        <is>
          <t xml:space="preserve">30:55</t>
        </is>
      </c>
      <c r="K215" s="2" t="str">
        <f>HYPERLINK("https://www.youtube.com/watch?v=mAeHiT56EV8","https://www.youtube.com/watch?v=mAeHiT56EV8")</f>
        <v>https://www.youtube.com/watch?v=mAeHiT56EV8</v>
      </c>
      <c r="L215" t="inlineStr">
        <is>
          <t xml:space="preserve">Welcome to @easyways2learn In this step-by-step Power Automate tutorial, learn how to use Microsoft AI Builder (Power ...</t>
        </is>
      </c>
      <c r="M215" t="inlineStr">
        <is>
          <t xml:space="preserve">power automate AI builder</t>
        </is>
      </c>
    </row>
    <row r="216">
      <c r="A216" s="3">
        <v>215</v>
      </c>
      <c r="B216" t="inlineStr">
        <is>
          <t xml:space="preserve">Video</t>
        </is>
      </c>
      <c r="C216" t="inlineStr">
        <is>
          <t xml:space="preserve">English</t>
        </is>
      </c>
      <c r="D216" t="inlineStr">
        <is>
          <t xml:space="preserve">Tutorial</t>
        </is>
      </c>
      <c r="E216" t="inlineStr">
        <is>
          <t xml:space="preserve">Excel</t>
        </is>
      </c>
      <c r="F216" t="inlineStr">
        <is>
          <t xml:space="preserve">Power Automate Excel Tutorial: Add, Update and Read from Excel</t>
        </is>
      </c>
      <c r="G216" t="inlineStr">
        <is>
          <t xml:space="preserve">Thomas Janssen</t>
        </is>
      </c>
      <c r="H216" s="3">
        <v>12165</v>
      </c>
      <c r="I216" t="inlineStr">
        <is>
          <t xml:space="preserve">8mo ago</t>
        </is>
      </c>
      <c r="J216" t="inlineStr">
        <is>
          <t xml:space="preserve">12:39</t>
        </is>
      </c>
      <c r="K216" s="2" t="str">
        <f>HYPERLINK("https://www.youtube.com/watch?v=M7gaUl4MsZ4","https://www.youtube.com/watch?v=M7gaUl4MsZ4")</f>
        <v>https://www.youtube.com/watch?v=M7gaUl4MsZ4</v>
      </c>
      <c r="L216" t="inlineStr">
        <is>
          <t xml:space="preserve">Automating boring work in Microsoft Excel with Power Automate is easy! In this tutorial you learn how to add data to an Excel file, ...</t>
        </is>
      </c>
      <c r="M216" t="inlineStr">
        <is>
          <t xml:space="preserve">power automate excel automation</t>
        </is>
      </c>
    </row>
    <row r="217">
      <c r="A217" s="3">
        <v>216</v>
      </c>
      <c r="B217" t="inlineStr">
        <is>
          <t xml:space="preserve">Video</t>
        </is>
      </c>
      <c r="C217" t="inlineStr">
        <is>
          <t xml:space="preserve">English</t>
        </is>
      </c>
      <c r="D217" t="inlineStr">
        <is>
          <t xml:space="preserve">Tutorial</t>
        </is>
      </c>
      <c r="E217" t="inlineStr">
        <is>
          <t xml:space="preserve">Desktop/RPA, AI/Copilot</t>
        </is>
      </c>
      <c r="F217" t="inlineStr">
        <is>
          <t xml:space="preserve">😍 Copilot in Power Automate Desktop is here (How to Guide)</t>
        </is>
      </c>
      <c r="G217" t="inlineStr">
        <is>
          <t xml:space="preserve">Anders Jensen</t>
        </is>
      </c>
      <c r="H217" s="3">
        <v>10629</v>
      </c>
      <c r="I217" t="inlineStr">
        <is>
          <t xml:space="preserve">2y ago</t>
        </is>
      </c>
      <c r="J217" t="inlineStr">
        <is>
          <t xml:space="preserve">5:24</t>
        </is>
      </c>
      <c r="K217" s="2" t="str">
        <f>HYPERLINK("https://www.youtube.com/watch?v=dZDoMrwqt4M","https://www.youtube.com/watch?v=dZDoMrwqt4M")</f>
        <v>https://www.youtube.com/watch?v=dZDoMrwqt4M</v>
      </c>
      <c r="L217" t="inlineStr">
        <is>
          <t xml:space="preserve">The video shows how to use Copilot in Microsoft Power Automate Desktop. Learn to use your everyday English words to create ...</t>
        </is>
      </c>
      <c r="M217" t="inlineStr">
        <is>
          <t xml:space="preserve">power automate copilot</t>
        </is>
      </c>
    </row>
    <row r="218">
      <c r="A218" s="3">
        <v>217</v>
      </c>
      <c r="B218" t="inlineStr">
        <is>
          <t xml:space="preserve">Video</t>
        </is>
      </c>
      <c r="C218" t="inlineStr">
        <is>
          <t xml:space="preserve">English</t>
        </is>
      </c>
      <c r="D218" t="inlineStr">
        <is>
          <t xml:space="preserve">Tutorial</t>
        </is>
      </c>
      <c r="E218" t="inlineStr">
        <is>
          <t xml:space="preserve">Email/Outlook</t>
        </is>
      </c>
      <c r="F218" t="inlineStr">
        <is>
          <t xml:space="preserve">Power Automate: Create Auto Replies for External Emails</t>
        </is>
      </c>
      <c r="G218" t="inlineStr">
        <is>
          <t xml:space="preserve">Cyber Insider</t>
        </is>
      </c>
      <c r="H218" s="3">
        <v>10417</v>
      </c>
      <c r="I218" t="inlineStr">
        <is>
          <t xml:space="preserve">2y ago</t>
        </is>
      </c>
      <c r="J218" t="inlineStr">
        <is>
          <t xml:space="preserve">3:27</t>
        </is>
      </c>
      <c r="K218" s="2" t="str">
        <f>HYPERLINK("https://www.youtube.com/watch?v=szdpk1N5Gck","https://www.youtube.com/watch?v=szdpk1N5Gck")</f>
        <v>https://www.youtube.com/watch?v=szdpk1N5Gck</v>
      </c>
      <c r="L218" t="inlineStr">
        <is>
          <t xml:space="preserve">Lear how you can create an auto response Power Automate, to respond to any external sender outside of your company's domain ...</t>
        </is>
      </c>
      <c r="M218" t="inlineStr">
        <is>
          <t xml:space="preserve">power automate email automation outlook</t>
        </is>
      </c>
    </row>
    <row r="219">
      <c r="A219" s="3">
        <v>218</v>
      </c>
      <c r="B219" t="inlineStr">
        <is>
          <t xml:space="preserve">Video</t>
        </is>
      </c>
      <c r="C219" t="inlineStr">
        <is>
          <t xml:space="preserve">English</t>
        </is>
      </c>
      <c r="D219" t="inlineStr">
        <is>
          <t xml:space="preserve">Tutorial</t>
        </is>
      </c>
      <c r="E219" t="inlineStr">
        <is>
          <t xml:space="preserve">AI/Copilot</t>
        </is>
      </c>
      <c r="F219" t="inlineStr">
        <is>
          <t xml:space="preserve">EXPLAINED: Copilot Studio Agents vs. Power Automate Flows</t>
        </is>
      </c>
      <c r="G219" t="inlineStr">
        <is>
          <t xml:space="preserve">Citizen Developer</t>
        </is>
      </c>
      <c r="H219" s="3">
        <v>10240</v>
      </c>
      <c r="I219" t="inlineStr">
        <is>
          <t xml:space="preserve">5mo ago</t>
        </is>
      </c>
      <c r="J219" t="inlineStr">
        <is>
          <t xml:space="preserve">7:46</t>
        </is>
      </c>
      <c r="K219" s="2" t="str">
        <f>HYPERLINK("https://www.youtube.com/watch?v=B119SbXhQns","https://www.youtube.com/watch?v=B119SbXhQns")</f>
        <v>https://www.youtube.com/watch?v=B119SbXhQns</v>
      </c>
      <c r="L219" t="inlineStr">
        <is>
          <t xml:space="preserve">Download the Agents vs. Flows Cheat Sheet Here: https://citizendeveloper365.com/resources/agent-flow-cheat-sheet/ In this ...</t>
        </is>
      </c>
      <c r="M219" t="inlineStr">
        <is>
          <t xml:space="preserve">power automate copilot</t>
        </is>
      </c>
    </row>
    <row r="220">
      <c r="A220" s="3">
        <v>219</v>
      </c>
      <c r="B220" t="inlineStr">
        <is>
          <t xml:space="preserve">Video</t>
        </is>
      </c>
      <c r="C220" t="inlineStr">
        <is>
          <t xml:space="preserve">English</t>
        </is>
      </c>
      <c r="D220" t="inlineStr">
        <is>
          <t xml:space="preserve">Tutorial</t>
        </is>
      </c>
      <c r="E220" t="inlineStr">
        <is>
          <t xml:space="preserve">AI/Copilot, PDF</t>
        </is>
      </c>
      <c r="F220" t="inlineStr">
        <is>
          <t xml:space="preserve">Connect Power Automate Flows to Copilot Agents: Generate PDFs &amp; More (Step-by-Step)</t>
        </is>
      </c>
      <c r="G220" t="inlineStr">
        <is>
          <t xml:space="preserve">Ronan Vico Technologies</t>
        </is>
      </c>
      <c r="H220" s="3">
        <v>9535</v>
      </c>
      <c r="I220" t="inlineStr">
        <is>
          <t xml:space="preserve">8mo ago</t>
        </is>
      </c>
      <c r="J220" t="inlineStr">
        <is>
          <t xml:space="preserve">10:03</t>
        </is>
      </c>
      <c r="K220" s="2" t="str">
        <f>HYPERLINK("https://www.youtube.com/watch?v=MHfK981SyvQ","https://www.youtube.com/watch?v=MHfK981SyvQ")</f>
        <v>https://www.youtube.com/watch?v=MHfK981SyvQ</v>
      </c>
      <c r="L220" t="inlineStr">
        <is>
          <t xml:space="preserve">Learn Power Platform faster at Pragmatic Works with this special discount! Click here ...</t>
        </is>
      </c>
      <c r="M220" t="inlineStr">
        <is>
          <t xml:space="preserve">power automate copilot</t>
        </is>
      </c>
    </row>
    <row r="221">
      <c r="A221" s="3">
        <v>220</v>
      </c>
      <c r="B221" t="inlineStr">
        <is>
          <t xml:space="preserve">Video</t>
        </is>
      </c>
      <c r="C221" t="inlineStr">
        <is>
          <t xml:space="preserve">English</t>
        </is>
      </c>
      <c r="D221" t="inlineStr">
        <is>
          <t xml:space="preserve">Tutorial</t>
        </is>
      </c>
      <c r="E221" t="inlineStr">
        <is>
          <t xml:space="preserve">SharePoint, Excel</t>
        </is>
      </c>
      <c r="F221" t="inlineStr">
        <is>
          <t xml:space="preserve">Power Automate: Automatically Add New SharePoint Items to Excel (Step-by-Step Tutorial)</t>
        </is>
      </c>
      <c r="G221" t="inlineStr">
        <is>
          <t xml:space="preserve">Automate M365</t>
        </is>
      </c>
      <c r="H221" s="3">
        <v>8878</v>
      </c>
      <c r="I221" t="inlineStr">
        <is>
          <t xml:space="preserve">11mo ago</t>
        </is>
      </c>
      <c r="J221" t="inlineStr">
        <is>
          <t xml:space="preserve">1:55</t>
        </is>
      </c>
      <c r="K221" s="2" t="str">
        <f>HYPERLINK("https://www.youtube.com/watch?v=mUl0tCgPiSc","https://www.youtube.com/watch?v=mUl0tCgPiSc")</f>
        <v>https://www.youtube.com/watch?v=mUl0tCgPiSc</v>
      </c>
      <c r="L221" t="inlineStr">
        <is>
          <t xml:space="preserve">Master scheduled data syncing! Discover how to automatically export entire Excel tables into a SharePoint list on a regular ...</t>
        </is>
      </c>
      <c r="M221" t="inlineStr">
        <is>
          <t xml:space="preserve">power automate sharepoint automation</t>
        </is>
      </c>
    </row>
    <row r="222">
      <c r="A222" s="3">
        <v>221</v>
      </c>
      <c r="B222" t="inlineStr">
        <is>
          <t xml:space="preserve">Video</t>
        </is>
      </c>
      <c r="C222" t="inlineStr">
        <is>
          <t xml:space="preserve">English</t>
        </is>
      </c>
      <c r="D222" t="inlineStr">
        <is>
          <t xml:space="preserve">Tutorial</t>
        </is>
      </c>
      <c r="E222" t="inlineStr">
        <is>
          <t xml:space="preserve">AI/Copilot</t>
        </is>
      </c>
      <c r="F222" t="inlineStr">
        <is>
          <t xml:space="preserve">How to use Power Automate Copilot - hands-on</t>
        </is>
      </c>
      <c r="G222" t="inlineStr">
        <is>
          <t xml:space="preserve">Efficiency 365 by Dr Nitin</t>
        </is>
      </c>
      <c r="H222" s="3">
        <v>8335</v>
      </c>
      <c r="I222" t="inlineStr">
        <is>
          <t xml:space="preserve">2y ago</t>
        </is>
      </c>
      <c r="J222" t="inlineStr">
        <is>
          <t xml:space="preserve">9:31</t>
        </is>
      </c>
      <c r="K222" s="2" t="str">
        <f>HYPERLINK("https://www.youtube.com/watch?v=Sjszdd5io8I","https://www.youtube.com/watch?v=Sjszdd5io8I")</f>
        <v>https://www.youtube.com/watch?v=Sjszdd5io8I</v>
      </c>
      <c r="L222" t="inlineStr">
        <is>
          <t xml:space="preserve">copilot #powerautomate #powerplatform #generativeai Learn how to use AI based Copilot in Power Automate to create workflow ...</t>
        </is>
      </c>
      <c r="M222" t="inlineStr">
        <is>
          <t xml:space="preserve">power automate copilot</t>
        </is>
      </c>
    </row>
    <row r="223">
      <c r="A223" s="3">
        <v>222</v>
      </c>
      <c r="B223" t="inlineStr">
        <is>
          <t xml:space="preserve">Video</t>
        </is>
      </c>
      <c r="C223" t="inlineStr">
        <is>
          <t xml:space="preserve">English</t>
        </is>
      </c>
      <c r="D223" t="inlineStr">
        <is>
          <t xml:space="preserve">Tutorial</t>
        </is>
      </c>
      <c r="E223" t="inlineStr">
        <is>
          <t xml:space="preserve">AI/Copilot</t>
        </is>
      </c>
      <c r="F223" t="inlineStr">
        <is>
          <t xml:space="preserve">How to use Power Automate AI Copilot - Beginners tutorial</t>
        </is>
      </c>
      <c r="G223" t="inlineStr">
        <is>
          <t xml:space="preserve">Anders Jensen</t>
        </is>
      </c>
      <c r="H223" s="3">
        <v>8257</v>
      </c>
      <c r="I223" t="inlineStr">
        <is>
          <t xml:space="preserve">3y ago</t>
        </is>
      </c>
      <c r="J223" t="inlineStr">
        <is>
          <t xml:space="preserve">6:09</t>
        </is>
      </c>
      <c r="K223" s="2" t="str">
        <f>HYPERLINK("https://www.youtube.com/watch?v=zYLVq0l1a4k","https://www.youtube.com/watch?v=zYLVq0l1a4k")</f>
        <v>https://www.youtube.com/watch?v=zYLVq0l1a4k</v>
      </c>
      <c r="L223" t="inlineStr">
        <is>
          <t xml:space="preserve">Power Automate Copilot from Microsoft is here. With everyday words and AI, you can create and tweak your flows. Here's how to ...</t>
        </is>
      </c>
      <c r="M223" t="inlineStr">
        <is>
          <t xml:space="preserve">power automate copilot</t>
        </is>
      </c>
    </row>
    <row r="224">
      <c r="A224" s="3">
        <v>223</v>
      </c>
      <c r="B224" t="inlineStr">
        <is>
          <t xml:space="preserve">Video</t>
        </is>
      </c>
      <c r="C224" t="inlineStr">
        <is>
          <t xml:space="preserve">English</t>
        </is>
      </c>
      <c r="D224" t="inlineStr">
        <is>
          <t xml:space="preserve">Tutorial</t>
        </is>
      </c>
      <c r="E224" t="inlineStr">
        <is>
          <t xml:space="preserve">SharePoint</t>
        </is>
      </c>
      <c r="F224" t="inlineStr">
        <is>
          <t xml:space="preserve">How to Add Workflow to a SharePoint List Using Microsoft Power Automate</t>
        </is>
      </c>
      <c r="G224" t="inlineStr">
        <is>
          <t xml:space="preserve">Lui Iacobellis</t>
        </is>
      </c>
      <c r="H224" s="3">
        <v>8033</v>
      </c>
      <c r="I224" t="inlineStr">
        <is>
          <t xml:space="preserve">5y ago</t>
        </is>
      </c>
      <c r="J224" t="inlineStr">
        <is>
          <t xml:space="preserve">7:34</t>
        </is>
      </c>
      <c r="K224" s="2" t="str">
        <f>HYPERLINK("https://www.youtube.com/watch?v=9C5wyAPyeoE","https://www.youtube.com/watch?v=9C5wyAPyeoE")</f>
        <v>https://www.youtube.com/watch?v=9C5wyAPyeoE</v>
      </c>
      <c r="L224" t="inlineStr">
        <is>
          <t xml:space="preserve">This tutorial will show you how to add a workflow to a SharePoint Online list using Microsoft Power Automate. Specifically, this ...</t>
        </is>
      </c>
      <c r="M224" t="inlineStr">
        <is>
          <t xml:space="preserve">power automate sharepoint automation</t>
        </is>
      </c>
    </row>
    <row r="225">
      <c r="A225" s="3">
        <v>224</v>
      </c>
      <c r="B225" t="inlineStr">
        <is>
          <t xml:space="preserve">Video</t>
        </is>
      </c>
      <c r="C225" t="inlineStr">
        <is>
          <t xml:space="preserve">English</t>
        </is>
      </c>
      <c r="D225" t="inlineStr">
        <is>
          <t xml:space="preserve">Tutorial</t>
        </is>
      </c>
      <c r="E225" t="inlineStr">
        <is>
          <t xml:space="preserve">AI/Copilot</t>
        </is>
      </c>
      <c r="F225" t="inlineStr">
        <is>
          <t xml:space="preserve">AI Builder Overview in Power Automate</t>
        </is>
      </c>
      <c r="G225" t="inlineStr">
        <is>
          <t xml:space="preserve">Microsoft Power Platform</t>
        </is>
      </c>
      <c r="H225" s="3">
        <v>8033</v>
      </c>
      <c r="I225" t="inlineStr">
        <is>
          <t xml:space="preserve">4y ago</t>
        </is>
      </c>
      <c r="J225" t="inlineStr">
        <is>
          <t xml:space="preserve">3:00</t>
        </is>
      </c>
      <c r="K225" s="2" t="str">
        <f>HYPERLINK("https://www.youtube.com/watch?v=D7p-sSauBTQ","https://www.youtube.com/watch?v=D7p-sSauBTQ")</f>
        <v>https://www.youtube.com/watch?v=D7p-sSauBTQ</v>
      </c>
      <c r="L225" t="inlineStr">
        <is>
          <t xml:space="preserve">... leverage the power platform to create an automated processing solution. The new AI builder document automation feature will ...</t>
        </is>
      </c>
      <c r="M225" t="inlineStr">
        <is>
          <t xml:space="preserve">power automate AI builder</t>
        </is>
      </c>
    </row>
    <row r="226">
      <c r="A226" s="3">
        <v>225</v>
      </c>
      <c r="B226" t="inlineStr">
        <is>
          <t xml:space="preserve">Video</t>
        </is>
      </c>
      <c r="C226" t="inlineStr">
        <is>
          <t xml:space="preserve">English</t>
        </is>
      </c>
      <c r="D226" t="inlineStr">
        <is>
          <t xml:space="preserve">Tutorial</t>
        </is>
      </c>
      <c r="E226" t="inlineStr">
        <is>
          <t xml:space="preserve">Email/Outlook</t>
        </is>
      </c>
      <c r="F226" t="inlineStr">
        <is>
          <t xml:space="preserve">Outlook + Power Automate - Reply to Emails Automatically Based on Keywords</t>
        </is>
      </c>
      <c r="G226" t="inlineStr">
        <is>
          <t xml:space="preserve">Mail Smartly</t>
        </is>
      </c>
      <c r="H226" s="3">
        <v>7159</v>
      </c>
      <c r="I226" t="inlineStr">
        <is>
          <t xml:space="preserve">1y ago</t>
        </is>
      </c>
      <c r="J226" t="inlineStr">
        <is>
          <t xml:space="preserve">9:06</t>
        </is>
      </c>
      <c r="K226" s="2" t="str">
        <f>HYPERLINK("https://www.youtube.com/watch?v=XJDmKnyEiZA","https://www.youtube.com/watch?v=XJDmKnyEiZA")</f>
        <v>https://www.youtube.com/watch?v=XJDmKnyEiZA</v>
      </c>
      <c r="L226" t="inlineStr">
        <is>
          <t xml:space="preserve">Tired of replying to the same types of emails over and over again? In this video, I'll show you how to set up an automated email ...</t>
        </is>
      </c>
      <c r="M226" t="inlineStr">
        <is>
          <t xml:space="preserve">power automate email automation outlook</t>
        </is>
      </c>
    </row>
    <row r="227">
      <c r="A227" s="3">
        <v>226</v>
      </c>
      <c r="B227" t="inlineStr">
        <is>
          <t xml:space="preserve">Video</t>
        </is>
      </c>
      <c r="C227" t="inlineStr">
        <is>
          <t xml:space="preserve">English</t>
        </is>
      </c>
      <c r="D227" t="inlineStr">
        <is>
          <t xml:space="preserve">Tutorial</t>
        </is>
      </c>
      <c r="E227" t="inlineStr">
        <is>
          <t xml:space="preserve">Desktop/RPA</t>
        </is>
      </c>
      <c r="F227" t="inlineStr">
        <is>
          <t xml:space="preserve">How to Download and Install Power Automate Desktop | Step-by-Step Guide</t>
        </is>
      </c>
      <c r="G227" t="inlineStr">
        <is>
          <t xml:space="preserve">Rishi Labs</t>
        </is>
      </c>
      <c r="H227" s="3">
        <v>6703</v>
      </c>
      <c r="I227" t="inlineStr">
        <is>
          <t xml:space="preserve">1y ago</t>
        </is>
      </c>
      <c r="J227" t="inlineStr">
        <is>
          <t xml:space="preserve">4:52</t>
        </is>
      </c>
      <c r="K227" s="2" t="str">
        <f>HYPERLINK("https://www.youtube.com/watch?v=TBaS-n31T-Q","https://www.youtube.com/watch?v=TBaS-n31T-Q")</f>
        <v>https://www.youtube.com/watch?v=TBaS-n31T-Q</v>
      </c>
      <c r="L227" t="inlineStr">
        <is>
          <t xml:space="preserve">How to Download and Install Power Automate Desktop | Step-by-Step Guide Download Link: ...</t>
        </is>
      </c>
      <c r="M227" t="inlineStr">
        <is>
          <t xml:space="preserve">power automate desktop bangla</t>
        </is>
      </c>
    </row>
    <row r="228">
      <c r="A228" s="3">
        <v>227</v>
      </c>
      <c r="B228" t="inlineStr">
        <is>
          <t xml:space="preserve">Video</t>
        </is>
      </c>
      <c r="C228" t="inlineStr">
        <is>
          <t xml:space="preserve">English</t>
        </is>
      </c>
      <c r="D228" t="inlineStr">
        <is>
          <t xml:space="preserve">Tutorial</t>
        </is>
      </c>
      <c r="E228" t="inlineStr">
        <is>
          <t xml:space="preserve">SharePoint</t>
        </is>
      </c>
      <c r="F228" t="inlineStr">
        <is>
          <t xml:space="preserve">How to Power Automate Update Item in SharePoint List | Step-by-Step 2025</t>
        </is>
      </c>
      <c r="G228" t="inlineStr">
        <is>
          <t xml:space="preserve">Dan’s Digital Desk</t>
        </is>
      </c>
      <c r="H228" s="3">
        <v>5604</v>
      </c>
      <c r="I228" t="inlineStr">
        <is>
          <t xml:space="preserve">11mo ago</t>
        </is>
      </c>
      <c r="J228" t="inlineStr">
        <is>
          <t xml:space="preserve">3:18</t>
        </is>
      </c>
      <c r="K228" s="2" t="str">
        <f>HYPERLINK("https://www.youtube.com/watch?v=BBNfFben4Hs","https://www.youtube.com/watch?v=BBNfFben4Hs")</f>
        <v>https://www.youtube.com/watch?v=BBNfFben4Hs</v>
      </c>
      <c r="L228" t="inlineStr">
        <is>
          <t xml:space="preserve">How to Power Automate Update Item in SharePoint List | Step-by-Step 2025 In this video, we'll show you how to use Power ...</t>
        </is>
      </c>
      <c r="M228" t="inlineStr">
        <is>
          <t xml:space="preserve">power automate sharepoint automation</t>
        </is>
      </c>
    </row>
    <row r="229">
      <c r="A229" s="3">
        <v>228</v>
      </c>
      <c r="B229" t="inlineStr">
        <is>
          <t xml:space="preserve">Video</t>
        </is>
      </c>
      <c r="C229" t="inlineStr">
        <is>
          <t xml:space="preserve">English</t>
        </is>
      </c>
      <c r="D229" t="inlineStr">
        <is>
          <t xml:space="preserve">Tutorial</t>
        </is>
      </c>
      <c r="E229" t="inlineStr">
        <is>
          <t xml:space="preserve">AI/Copilot</t>
        </is>
      </c>
      <c r="F229" t="inlineStr">
        <is>
          <t xml:space="preserve">How to Create Power Automate Flows with Copilot DEMO</t>
        </is>
      </c>
      <c r="G229" t="inlineStr">
        <is>
          <t xml:space="preserve">Vlad Talks Tech</t>
        </is>
      </c>
      <c r="H229" s="3">
        <v>5513</v>
      </c>
      <c r="I229" t="inlineStr">
        <is>
          <t xml:space="preserve">2y ago</t>
        </is>
      </c>
      <c r="J229" t="inlineStr">
        <is>
          <t xml:space="preserve">7:33</t>
        </is>
      </c>
      <c r="K229" s="2" t="str">
        <f>HYPERLINK("https://www.youtube.com/watch?v=3xIjOYG4Hc4","https://www.youtube.com/watch?v=3xIjOYG4Hc4")</f>
        <v>https://www.youtube.com/watch?v=3xIjOYG4Hc4</v>
      </c>
      <c r="L229" t="inlineStr">
        <is>
          <t xml:space="preserve">Are you wondering how to create Power Automate Flows in Copilot faster and more easily? In this 10-minute clip from my Copilot ...</t>
        </is>
      </c>
      <c r="M229" t="inlineStr">
        <is>
          <t xml:space="preserve">power automate copilot</t>
        </is>
      </c>
    </row>
    <row r="230">
      <c r="A230" s="3">
        <v>229</v>
      </c>
      <c r="B230" t="inlineStr">
        <is>
          <t xml:space="preserve">Video</t>
        </is>
      </c>
      <c r="C230" t="inlineStr">
        <is>
          <t xml:space="preserve">English</t>
        </is>
      </c>
      <c r="D230" t="inlineStr">
        <is>
          <t xml:space="preserve">Tutorial</t>
        </is>
      </c>
      <c r="E230" t="inlineStr">
        <is>
          <t xml:space="preserve">Desktop/RPA, Email/Outlook</t>
        </is>
      </c>
      <c r="F230" t="inlineStr">
        <is>
          <t xml:space="preserve">Power Automate Desktop - Outlook Automation (Full Tutorial)</t>
        </is>
      </c>
      <c r="G230" t="inlineStr">
        <is>
          <t xml:space="preserve">Marcelo Cruz</t>
        </is>
      </c>
      <c r="H230" s="3">
        <v>5481</v>
      </c>
      <c r="I230" t="inlineStr">
        <is>
          <t xml:space="preserve">3y ago</t>
        </is>
      </c>
      <c r="J230" t="inlineStr">
        <is>
          <t xml:space="preserve">15:43</t>
        </is>
      </c>
      <c r="K230" s="2" t="str">
        <f>HYPERLINK("https://www.youtube.com/watch?v=T6R89iP0SOI","https://www.youtube.com/watch?v=T6R89iP0SOI")</f>
        <v>https://www.youtube.com/watch?v=T6R89iP0SOI</v>
      </c>
      <c r="L230" t="inlineStr">
        <is>
          <t xml:space="preserve">On this tutorial we will learn how we can automate actions on Outlook with Power Automate Desktop.</t>
        </is>
      </c>
      <c r="M230" t="inlineStr">
        <is>
          <t xml:space="preserve">power automate email automation outlook</t>
        </is>
      </c>
    </row>
    <row r="231">
      <c r="A231" s="3">
        <v>230</v>
      </c>
      <c r="B231" t="inlineStr">
        <is>
          <t xml:space="preserve">Video</t>
        </is>
      </c>
      <c r="C231" t="inlineStr">
        <is>
          <t xml:space="preserve">English</t>
        </is>
      </c>
      <c r="D231" t="inlineStr">
        <is>
          <t xml:space="preserve">Tutorial</t>
        </is>
      </c>
      <c r="E231" t="inlineStr">
        <is>
          <t xml:space="preserve">SharePoint, Approvals</t>
        </is>
      </c>
      <c r="F231" t="inlineStr">
        <is>
          <t xml:space="preserve">Automate Approvals Using SharePoint &amp; Power Automate</t>
        </is>
      </c>
      <c r="G231" t="inlineStr">
        <is>
          <t xml:space="preserve">Tex-IT</t>
        </is>
      </c>
      <c r="H231" s="3">
        <v>4915</v>
      </c>
      <c r="I231" t="inlineStr">
        <is>
          <t xml:space="preserve">9mo ago</t>
        </is>
      </c>
      <c r="J231" t="inlineStr">
        <is>
          <t xml:space="preserve">12:15</t>
        </is>
      </c>
      <c r="K231" s="2" t="str">
        <f>HYPERLINK("https://www.youtube.com/watch?v=88np-SN2NLw","https://www.youtube.com/watch?v=88np-SN2NLw")</f>
        <v>https://www.youtube.com/watch?v=88np-SN2NLw</v>
      </c>
      <c r="L231" t="inlineStr">
        <is>
          <t xml:space="preserve">Create an Approval Process with SharePoint &amp; Power Automate (Step-by-Step Guide) Microsoft documentation: ...</t>
        </is>
      </c>
      <c r="M231" t="inlineStr">
        <is>
          <t xml:space="preserve">power automate approval workflow ; power automate sharepoint automation</t>
        </is>
      </c>
    </row>
    <row r="232">
      <c r="A232" s="3">
        <v>231</v>
      </c>
      <c r="B232" t="inlineStr">
        <is>
          <t xml:space="preserve">Video</t>
        </is>
      </c>
      <c r="C232" t="inlineStr">
        <is>
          <t xml:space="preserve">English</t>
        </is>
      </c>
      <c r="D232" t="inlineStr">
        <is>
          <t xml:space="preserve">Tutorial</t>
        </is>
      </c>
      <c r="E232" t="inlineStr">
        <is>
          <t xml:space="preserve">Desktop/RPA, Web automation</t>
        </is>
      </c>
      <c r="F232" t="inlineStr">
        <is>
          <t xml:space="preserve">Power Automate Desktop - Web Automation - Part 1</t>
        </is>
      </c>
      <c r="G232" t="inlineStr">
        <is>
          <t xml:space="preserve">Malay Vasavada</t>
        </is>
      </c>
      <c r="H232" s="3">
        <v>4809</v>
      </c>
      <c r="I232" t="inlineStr">
        <is>
          <t xml:space="preserve">10mo ago</t>
        </is>
      </c>
      <c r="J232" t="inlineStr">
        <is>
          <t xml:space="preserve">11:44</t>
        </is>
      </c>
      <c r="K232" s="2" t="str">
        <f>HYPERLINK("https://www.youtube.com/watch?v=6qu6LYcvUd4","https://www.youtube.com/watch?v=6qu6LYcvUd4")</f>
        <v>https://www.youtube.com/watch?v=6qu6LYcvUd4</v>
      </c>
      <c r="L232" t="inlineStr">
        <is>
          <t xml:space="preserve">In this detailed tutorial, I will explain how to use web-based automation to launch a browser, add a browser extension, detect a UI ...</t>
        </is>
      </c>
      <c r="M232" t="inlineStr">
        <is>
          <t xml:space="preserve">power automate desktop bangla</t>
        </is>
      </c>
    </row>
    <row r="233">
      <c r="A233" s="3">
        <v>232</v>
      </c>
      <c r="B233" t="inlineStr">
        <is>
          <t xml:space="preserve">Video</t>
        </is>
      </c>
      <c r="C233" t="inlineStr">
        <is>
          <t xml:space="preserve">English</t>
        </is>
      </c>
      <c r="D233" t="inlineStr">
        <is>
          <t xml:space="preserve">Tutorial</t>
        </is>
      </c>
      <c r="E233" t="inlineStr">
        <is>
          <t xml:space="preserve">AI/Copilot, Forms</t>
        </is>
      </c>
      <c r="F233" t="inlineStr">
        <is>
          <t xml:space="preserve">Power Platform AI Builder tutorial - Processing form with Complex Tables</t>
        </is>
      </c>
      <c r="G233" t="inlineStr">
        <is>
          <t xml:space="preserve">Deepak Shrivastava</t>
        </is>
      </c>
      <c r="H233" s="3">
        <v>4035</v>
      </c>
      <c r="I233" t="inlineStr">
        <is>
          <t xml:space="preserve">5y ago</t>
        </is>
      </c>
      <c r="J233" t="inlineStr">
        <is>
          <t xml:space="preserve">17:46</t>
        </is>
      </c>
      <c r="K233" s="2" t="str">
        <f>HYPERLINK("https://www.youtube.com/watch?v=28o1E3eMxiQ","https://www.youtube.com/watch?v=28o1E3eMxiQ")</f>
        <v>https://www.youtube.com/watch?v=28o1E3eMxiQ</v>
      </c>
      <c r="L233" t="inlineStr">
        <is>
          <t xml:space="preserve">This video will provide a Step by step walkthrough of building an Invoice Processing Solution leveraging the AI Builder Forms ...</t>
        </is>
      </c>
      <c r="M233" t="inlineStr">
        <is>
          <t xml:space="preserve">power automate AI builder</t>
        </is>
      </c>
    </row>
    <row r="234">
      <c r="A234" s="3">
        <v>233</v>
      </c>
      <c r="B234" t="inlineStr">
        <is>
          <t xml:space="preserve">Video</t>
        </is>
      </c>
      <c r="C234" t="inlineStr">
        <is>
          <t xml:space="preserve">English</t>
        </is>
      </c>
      <c r="D234" t="inlineStr">
        <is>
          <t xml:space="preserve">Tutorial</t>
        </is>
      </c>
      <c r="E234" t="inlineStr">
        <is>
          <t xml:space="preserve">AI/Copilot</t>
        </is>
      </c>
      <c r="F234" t="inlineStr">
        <is>
          <t xml:space="preserve">Stop Wasting AI Builder Credits in Power Automate!</t>
        </is>
      </c>
      <c r="G234" t="inlineStr">
        <is>
          <t xml:space="preserve">Daniel Christian</t>
        </is>
      </c>
      <c r="H234" s="3">
        <v>3735</v>
      </c>
      <c r="I234" t="inlineStr">
        <is>
          <t xml:space="preserve">1mo ago</t>
        </is>
      </c>
      <c r="J234" t="inlineStr">
        <is>
          <t xml:space="preserve">14:01</t>
        </is>
      </c>
      <c r="K234" s="2" t="str">
        <f>HYPERLINK("https://www.youtube.com/watch?v=HOGckQ_bLgk","https://www.youtube.com/watch?v=HOGckQ_bLgk")</f>
        <v>https://www.youtube.com/watch?v=HOGckQ_bLgk</v>
      </c>
      <c r="L234" t="inlineStr">
        <is>
          <t xml:space="preserve">Stop Wasting AI Builder Credits in Power Automate! Hey Everyone, In this video, I will show you how you can take an existing ...</t>
        </is>
      </c>
      <c r="M234" t="inlineStr">
        <is>
          <t xml:space="preserve">power automate AI builder</t>
        </is>
      </c>
    </row>
    <row r="235">
      <c r="A235" s="3">
        <v>234</v>
      </c>
      <c r="B235" t="inlineStr">
        <is>
          <t xml:space="preserve">Video</t>
        </is>
      </c>
      <c r="C235" t="inlineStr">
        <is>
          <t xml:space="preserve">English</t>
        </is>
      </c>
      <c r="D235" t="inlineStr">
        <is>
          <t xml:space="preserve">Tutorial</t>
        </is>
      </c>
      <c r="E235" t="inlineStr">
        <is>
          <t xml:space="preserve">AI/Copilot</t>
        </is>
      </c>
      <c r="F235" t="inlineStr">
        <is>
          <t xml:space="preserve">Document Automation with AI Builder in Power Automate |Microsoft AI Builder Tutorial [2025 Tutorial]</t>
        </is>
      </c>
      <c r="G235" t="inlineStr">
        <is>
          <t xml:space="preserve">EasyWay2Learn</t>
        </is>
      </c>
      <c r="H235" s="3">
        <v>3325</v>
      </c>
      <c r="I235" t="inlineStr">
        <is>
          <t xml:space="preserve">2y ago</t>
        </is>
      </c>
      <c r="J235" t="inlineStr">
        <is>
          <t xml:space="preserve">10:36</t>
        </is>
      </c>
      <c r="K235" s="2" t="str">
        <f>HYPERLINK("https://www.youtube.com/watch?v=EdTDWFHMV2U","https://www.youtube.com/watch?v=EdTDWFHMV2U")</f>
        <v>https://www.youtube.com/watch?v=EdTDWFHMV2U</v>
      </c>
      <c r="L235" t="inlineStr">
        <is>
          <t xml:space="preserve">In this complete Power Automate AI Builder tutorial, learn how to automate invoice and document processing by extracting data ...</t>
        </is>
      </c>
      <c r="M235" t="inlineStr">
        <is>
          <t xml:space="preserve">power automate AI builder</t>
        </is>
      </c>
    </row>
    <row r="236">
      <c r="A236" s="3">
        <v>235</v>
      </c>
      <c r="B236" t="inlineStr">
        <is>
          <t xml:space="preserve">Video</t>
        </is>
      </c>
      <c r="C236" t="inlineStr">
        <is>
          <t xml:space="preserve">English</t>
        </is>
      </c>
      <c r="D236" t="inlineStr">
        <is>
          <t xml:space="preserve">Tutorial</t>
        </is>
      </c>
      <c r="E236" t="inlineStr">
        <is>
          <t xml:space="preserve">AI/Copilot</t>
        </is>
      </c>
      <c r="F236" t="inlineStr">
        <is>
          <t xml:space="preserve">How to | Train the AI Builder in Power Automate to handle your Invoices</t>
        </is>
      </c>
      <c r="G236" t="inlineStr">
        <is>
          <t xml:space="preserve">Mathias Kjeldsen</t>
        </is>
      </c>
      <c r="H236" s="3">
        <v>2872</v>
      </c>
      <c r="I236" t="inlineStr">
        <is>
          <t xml:space="preserve">1y ago</t>
        </is>
      </c>
      <c r="J236" t="inlineStr">
        <is>
          <t xml:space="preserve">21:03</t>
        </is>
      </c>
      <c r="K236" s="2" t="str">
        <f>HYPERLINK("https://www.youtube.com/watch?v=NpzB1HvROco","https://www.youtube.com/watch?v=NpzB1HvROco")</f>
        <v>https://www.youtube.com/watch?v=NpzB1HvROco</v>
      </c>
      <c r="L236" t="inlineStr">
        <is>
          <t xml:space="preserve">Find the files here, if you want to follow along: ...</t>
        </is>
      </c>
      <c r="M236" t="inlineStr">
        <is>
          <t xml:space="preserve">power automate AI builder</t>
        </is>
      </c>
    </row>
    <row r="237">
      <c r="A237" s="3">
        <v>236</v>
      </c>
      <c r="B237" t="inlineStr">
        <is>
          <t xml:space="preserve">Video</t>
        </is>
      </c>
      <c r="C237" t="inlineStr">
        <is>
          <t xml:space="preserve">English</t>
        </is>
      </c>
      <c r="D237" t="inlineStr">
        <is>
          <t xml:space="preserve">Tutorial</t>
        </is>
      </c>
      <c r="E237" t="inlineStr">
        <is>
          <t xml:space="preserve">SharePoint</t>
        </is>
      </c>
      <c r="F237" t="inlineStr">
        <is>
          <t xml:space="preserve">Automation OneDrive to SharePoint | automation without any coding #powerautomate</t>
        </is>
      </c>
      <c r="G237" t="inlineStr">
        <is>
          <t xml:space="preserve">Gyan On Tube</t>
        </is>
      </c>
      <c r="H237" s="3">
        <v>2661</v>
      </c>
      <c r="I237" t="inlineStr">
        <is>
          <t xml:space="preserve">4y ago</t>
        </is>
      </c>
      <c r="J237" t="inlineStr">
        <is>
          <t xml:space="preserve">6:42</t>
        </is>
      </c>
      <c r="K237" s="2" t="str">
        <f>HYPERLINK("https://www.youtube.com/watch?v=6PSpGp7sfcg","https://www.youtube.com/watch?v=6PSpGp7sfcg")</f>
        <v>https://www.youtube.com/watch?v=6PSpGp7sfcg</v>
      </c>
      <c r="L237" t="inlineStr">
        <is>
          <t xml:space="preserve">Microsoft #PowerAutomate is a tool that helps users to create automated #workflows between desired applications to synchronize ...</t>
        </is>
      </c>
      <c r="M237" t="inlineStr">
        <is>
          <t xml:space="preserve">power automate sharepoint automation</t>
        </is>
      </c>
    </row>
    <row r="238">
      <c r="A238" s="3">
        <v>237</v>
      </c>
      <c r="B238" t="inlineStr">
        <is>
          <t xml:space="preserve">Video</t>
        </is>
      </c>
      <c r="C238" t="inlineStr">
        <is>
          <t xml:space="preserve">English</t>
        </is>
      </c>
      <c r="D238" t="inlineStr">
        <is>
          <t xml:space="preserve">Tutorial</t>
        </is>
      </c>
      <c r="E238" t="inlineStr">
        <is>
          <t xml:space="preserve">Desktop/RPA, Email/Outlook</t>
        </is>
      </c>
      <c r="F238" t="inlineStr">
        <is>
          <t xml:space="preserve">The EXACT Outlook Email Workflow with Power Automate Desktop - That Saves Hours Every Week</t>
        </is>
      </c>
      <c r="G238" t="inlineStr">
        <is>
          <t xml:space="preserve">Be Industry Ready and Muthuraj Subbian</t>
        </is>
      </c>
      <c r="H238" s="3">
        <v>2233</v>
      </c>
      <c r="I238" t="inlineStr">
        <is>
          <t xml:space="preserve">3mo ago</t>
        </is>
      </c>
      <c r="J238" t="inlineStr">
        <is>
          <t xml:space="preserve">18:39</t>
        </is>
      </c>
      <c r="K238" s="2" t="str">
        <f>HYPERLINK("https://www.youtube.com/watch?v=hzXfWwqxZyc","https://www.youtube.com/watch?v=hzXfWwqxZyc")</f>
        <v>https://www.youtube.com/watch?v=hzXfWwqxZyc</v>
      </c>
      <c r="L238" t="inlineStr">
        <is>
          <t xml:space="preserve">Struggling to manage your Outlook inbox? In this lesson, you'll learn how to automate your Outlook email processing using Power ...</t>
        </is>
      </c>
      <c r="M238" t="inlineStr">
        <is>
          <t xml:space="preserve">power automate email automation outlook</t>
        </is>
      </c>
    </row>
    <row r="239">
      <c r="A239" s="3">
        <v>238</v>
      </c>
      <c r="B239" t="inlineStr">
        <is>
          <t xml:space="preserve">Video</t>
        </is>
      </c>
      <c r="C239" t="inlineStr">
        <is>
          <t xml:space="preserve">English</t>
        </is>
      </c>
      <c r="D239" t="inlineStr">
        <is>
          <t xml:space="preserve">Tutorial</t>
        </is>
      </c>
      <c r="E239" t="inlineStr">
        <is>
          <t xml:space="preserve">SharePoint, AI/Copilot</t>
        </is>
      </c>
      <c r="F239" t="inlineStr">
        <is>
          <t xml:space="preserve">How To Use Microsoft Power Automate With Copilot Studio To Automate Your Processes</t>
        </is>
      </c>
      <c r="G239" t="inlineStr">
        <is>
          <t xml:space="preserve">Joel McWilliam</t>
        </is>
      </c>
      <c r="H239" s="3">
        <v>2217</v>
      </c>
      <c r="I239" t="inlineStr">
        <is>
          <t xml:space="preserve">7mo ago</t>
        </is>
      </c>
      <c r="J239" t="inlineStr">
        <is>
          <t xml:space="preserve">6:38</t>
        </is>
      </c>
      <c r="K239" s="2" t="str">
        <f>HYPERLINK("https://www.youtube.com/watch?v=yPmna0teubA","https://www.youtube.com/watch?v=yPmna0teubA")</f>
        <v>https://www.youtube.com/watch?v=yPmna0teubA</v>
      </c>
      <c r="L239" t="inlineStr">
        <is>
          <t xml:space="preserve">In this video, I'll show how you can use Power Automate, Copilot Studio and SharePoint to turn this into a far more seamless ...</t>
        </is>
      </c>
      <c r="M239" t="inlineStr">
        <is>
          <t xml:space="preserve">power automate copilot</t>
        </is>
      </c>
    </row>
    <row r="240">
      <c r="A240" s="3">
        <v>239</v>
      </c>
      <c r="B240" t="inlineStr">
        <is>
          <t xml:space="preserve">Video</t>
        </is>
      </c>
      <c r="C240" t="inlineStr">
        <is>
          <t xml:space="preserve">English</t>
        </is>
      </c>
      <c r="D240" t="inlineStr">
        <is>
          <t xml:space="preserve">Tutorial</t>
        </is>
      </c>
      <c r="E240" t="inlineStr">
        <is>
          <t xml:space="preserve">Cloud flows</t>
        </is>
      </c>
      <c r="F240" t="inlineStr">
        <is>
          <t xml:space="preserve">How to Create an Automated Cloud Flow || 7</t>
        </is>
      </c>
      <c r="G240" t="inlineStr">
        <is>
          <t xml:space="preserve">Microsoft Dynamics 365 &amp; Power Platform</t>
        </is>
      </c>
      <c r="H240" s="3">
        <v>2048</v>
      </c>
      <c r="I240" t="inlineStr">
        <is>
          <t xml:space="preserve">1y ago</t>
        </is>
      </c>
      <c r="J240" t="inlineStr">
        <is>
          <t xml:space="preserve">2:46</t>
        </is>
      </c>
      <c r="K240" s="2" t="str">
        <f>HYPERLINK("https://www.youtube.com/watch?v=mY3bqv4IUjc","https://www.youtube.com/watch?v=mY3bqv4IUjc")</f>
        <v>https://www.youtube.com/watch?v=mY3bqv4IUjc</v>
      </c>
      <c r="L240" t="inlineStr">
        <is>
          <t xml:space="preserve">Learn how to create an automated cloud flow in Power Automate step-by-step. This guide covers selecting triggers, adding ...</t>
        </is>
      </c>
      <c r="M240" t="inlineStr">
        <is>
          <t xml:space="preserve">power automate cloud flow tutorial</t>
        </is>
      </c>
    </row>
    <row r="241">
      <c r="A241" s="3">
        <v>240</v>
      </c>
      <c r="B241" t="inlineStr">
        <is>
          <t xml:space="preserve">Video</t>
        </is>
      </c>
      <c r="C241" t="inlineStr">
        <is>
          <t xml:space="preserve">English</t>
        </is>
      </c>
      <c r="D241" t="inlineStr">
        <is>
          <t xml:space="preserve">Tutorial</t>
        </is>
      </c>
      <c r="E241" t="inlineStr">
        <is>
          <t xml:space="preserve">Desktop/RPA, Excel</t>
        </is>
      </c>
      <c r="F241" t="inlineStr">
        <is>
          <t xml:space="preserve">Excel Automation in Power Automate Desktop | Power Automate Desktop Tutorials | KT Sessions</t>
        </is>
      </c>
      <c r="G241" t="inlineStr">
        <is>
          <t xml:space="preserve">KT Sessions</t>
        </is>
      </c>
      <c r="H241" s="3">
        <v>1714</v>
      </c>
      <c r="I241" t="inlineStr">
        <is>
          <t xml:space="preserve">1y ago</t>
        </is>
      </c>
      <c r="J241" t="inlineStr">
        <is>
          <t xml:space="preserve">16:18</t>
        </is>
      </c>
      <c r="K241" s="2" t="str">
        <f>HYPERLINK("https://www.youtube.com/watch?v=yf5355LnEdE","https://www.youtube.com/watch?v=yf5355LnEdE")</f>
        <v>https://www.youtube.com/watch?v=yf5355LnEdE</v>
      </c>
      <c r="L241" t="inlineStr">
        <is>
          <t xml:space="preserve">We'll show you how to read and write data in Excel seamlessly. Whether you're extracting data for processing or updating ...</t>
        </is>
      </c>
      <c r="M241" t="inlineStr">
        <is>
          <t xml:space="preserve">power automate excel automation</t>
        </is>
      </c>
    </row>
    <row r="242">
      <c r="A242" s="3">
        <v>241</v>
      </c>
      <c r="B242" t="inlineStr">
        <is>
          <t xml:space="preserve">Video</t>
        </is>
      </c>
      <c r="C242" t="inlineStr">
        <is>
          <t xml:space="preserve">English</t>
        </is>
      </c>
      <c r="D242" t="inlineStr">
        <is>
          <t xml:space="preserve">Tutorial</t>
        </is>
      </c>
      <c r="E242" t="inlineStr">
        <is>
          <t xml:space="preserve">Cloud flows</t>
        </is>
      </c>
      <c r="F242" t="inlineStr">
        <is>
          <t xml:space="preserve">Power Automate Tutorial for Beginners | Create an Automated Cloud Flow Step-by-Step</t>
        </is>
      </c>
      <c r="G242" t="inlineStr">
        <is>
          <t xml:space="preserve">Microsoft Dynamics 365 &amp; Power Platform</t>
        </is>
      </c>
      <c r="H242" s="3">
        <v>1596</v>
      </c>
      <c r="I242" t="inlineStr">
        <is>
          <t xml:space="preserve">10mo ago</t>
        </is>
      </c>
      <c r="J242" t="inlineStr">
        <is>
          <t xml:space="preserve">3:49</t>
        </is>
      </c>
      <c r="K242" s="2" t="str">
        <f>HYPERLINK("https://www.youtube.com/watch?v=Sqk9aYEhd90","https://www.youtube.com/watch?v=Sqk9aYEhd90")</f>
        <v>https://www.youtube.com/watch?v=Sqk9aYEhd90</v>
      </c>
      <c r="L242" t="inlineStr">
        <is>
          <t xml:space="preserve">In this Power Automate tutorial for beginners, you'll learn how to create an Automated Cloud Flow from scratch in Microsoft Power ...</t>
        </is>
      </c>
      <c r="M242" t="inlineStr">
        <is>
          <t xml:space="preserve">power automate cloud flow tutorial</t>
        </is>
      </c>
    </row>
    <row r="243">
      <c r="A243" s="3">
        <v>242</v>
      </c>
      <c r="B243" t="inlineStr">
        <is>
          <t xml:space="preserve">Video</t>
        </is>
      </c>
      <c r="C243" t="inlineStr">
        <is>
          <t xml:space="preserve">English</t>
        </is>
      </c>
      <c r="D243" t="inlineStr">
        <is>
          <t xml:space="preserve">Tutorial</t>
        </is>
      </c>
      <c r="E243" t="inlineStr">
        <is>
          <t xml:space="preserve">AI/Copilot</t>
        </is>
      </c>
      <c r="F243" t="inlineStr">
        <is>
          <t xml:space="preserve">How to Use Power Automate AI Copilot Easily 2026</t>
        </is>
      </c>
      <c r="G243" t="inlineStr">
        <is>
          <t xml:space="preserve">PMN Online</t>
        </is>
      </c>
      <c r="H243" s="3">
        <v>1485</v>
      </c>
      <c r="I243" t="inlineStr">
        <is>
          <t xml:space="preserve">2mo ago</t>
        </is>
      </c>
      <c r="J243" t="inlineStr">
        <is>
          <t xml:space="preserve">8:13</t>
        </is>
      </c>
      <c r="K243" s="2" t="str">
        <f>HYPERLINK("https://www.youtube.com/watch?v=BmNChhZzSNw","https://www.youtube.com/watch?v=BmNChhZzSNw")</f>
        <v>https://www.youtube.com/watch?v=BmNChhZzSNw</v>
      </c>
      <c r="L243" t="inlineStr">
        <is>
          <t xml:space="preserve">In this video I have shown How to Use Power Automate AI Copilot Easily 2026. If you want to build workflows faster using artificial ...</t>
        </is>
      </c>
      <c r="M243" t="inlineStr">
        <is>
          <t xml:space="preserve">power automate copilot</t>
        </is>
      </c>
    </row>
    <row r="244">
      <c r="A244" s="3">
        <v>243</v>
      </c>
      <c r="B244" t="inlineStr">
        <is>
          <t xml:space="preserve">Video</t>
        </is>
      </c>
      <c r="C244" t="inlineStr">
        <is>
          <t xml:space="preserve">English</t>
        </is>
      </c>
      <c r="D244" t="inlineStr">
        <is>
          <t xml:space="preserve">Tutorial</t>
        </is>
      </c>
      <c r="E244" t="inlineStr">
        <is>
          <t xml:space="preserve">Cloud flows</t>
        </is>
      </c>
      <c r="F244" t="inlineStr">
        <is>
          <t xml:space="preserve">Power Automate Tutorial For Beginners | Types of Cloud Flows</t>
        </is>
      </c>
      <c r="G244" t="inlineStr">
        <is>
          <t xml:space="preserve">KT Sessions</t>
        </is>
      </c>
      <c r="H244" s="3">
        <v>1474</v>
      </c>
      <c r="I244" t="inlineStr">
        <is>
          <t xml:space="preserve">1y ago</t>
        </is>
      </c>
      <c r="J244" t="inlineStr">
        <is>
          <t xml:space="preserve">28:12</t>
        </is>
      </c>
      <c r="K244" s="2" t="str">
        <f>HYPERLINK("https://www.youtube.com/watch?v=aPgFr4Mmdag","https://www.youtube.com/watch?v=aPgFr4Mmdag")</f>
        <v>https://www.youtube.com/watch?v=aPgFr4Mmdag</v>
      </c>
      <c r="L244" t="inlineStr">
        <is>
          <t xml:space="preserve">In this beginner-friendly guide, we'll walk you through Power Automate from scratch. You'll learn: ✓ What is Power Automate ...</t>
        </is>
      </c>
      <c r="M244" t="inlineStr">
        <is>
          <t xml:space="preserve">power automate cloud flow tutorial</t>
        </is>
      </c>
    </row>
    <row r="245">
      <c r="A245" s="3">
        <v>244</v>
      </c>
      <c r="B245" t="inlineStr">
        <is>
          <t xml:space="preserve">Video</t>
        </is>
      </c>
      <c r="C245" t="inlineStr">
        <is>
          <t xml:space="preserve">English</t>
        </is>
      </c>
      <c r="D245" t="inlineStr">
        <is>
          <t xml:space="preserve">Tutorial</t>
        </is>
      </c>
      <c r="E245" t="inlineStr">
        <is>
          <t xml:space="preserve">Excel, Email/Outlook</t>
        </is>
      </c>
      <c r="F245" t="inlineStr">
        <is>
          <t xml:space="preserve">How to Read From Excel and Send Email in Power Automate Easily 2026</t>
        </is>
      </c>
      <c r="G245" t="inlineStr">
        <is>
          <t xml:space="preserve">PMN Online</t>
        </is>
      </c>
      <c r="H245" s="3">
        <v>1196</v>
      </c>
      <c r="I245" t="inlineStr">
        <is>
          <t xml:space="preserve">2mo ago</t>
        </is>
      </c>
      <c r="J245" t="inlineStr">
        <is>
          <t xml:space="preserve">8:28</t>
        </is>
      </c>
      <c r="K245" s="2" t="str">
        <f>HYPERLINK("https://www.youtube.com/watch?v=f5YrgBEnE8g","https://www.youtube.com/watch?v=f5YrgBEnE8g")</f>
        <v>https://www.youtube.com/watch?v=f5YrgBEnE8g</v>
      </c>
      <c r="L245" t="inlineStr">
        <is>
          <t xml:space="preserve">In this video I have shown How to Read From Excel and Send Email in Power Automate Easily 2026. If you want to automate ...</t>
        </is>
      </c>
      <c r="M245" t="inlineStr">
        <is>
          <t xml:space="preserve">power automate excel automation ; power automate email automation outlook</t>
        </is>
      </c>
    </row>
    <row r="246">
      <c r="A246" s="3">
        <v>245</v>
      </c>
      <c r="B246" t="inlineStr">
        <is>
          <t xml:space="preserve">Video</t>
        </is>
      </c>
      <c r="C246" t="inlineStr">
        <is>
          <t xml:space="preserve">English</t>
        </is>
      </c>
      <c r="D246" t="inlineStr">
        <is>
          <t xml:space="preserve">Tutorial</t>
        </is>
      </c>
      <c r="E246" t="inlineStr">
        <is>
          <t xml:space="preserve">SharePoint, Excel, Power Apps</t>
        </is>
      </c>
      <c r="F246" t="inlineStr">
        <is>
          <t xml:space="preserve">Power Automate: Generate Excel Reports From Power Automate Flow-Part -1</t>
        </is>
      </c>
      <c r="G246" t="inlineStr">
        <is>
          <t xml:space="preserve">Blue Square Technologies</t>
        </is>
      </c>
      <c r="H246" s="3">
        <v>1100</v>
      </c>
      <c r="I246" t="inlineStr">
        <is>
          <t xml:space="preserve">1y ago</t>
        </is>
      </c>
      <c r="J246" t="inlineStr">
        <is>
          <t xml:space="preserve">16:05</t>
        </is>
      </c>
      <c r="K246" s="2" t="str">
        <f>HYPERLINK("https://www.youtube.com/watch?v=A5wiff-BkIw","https://www.youtube.com/watch?v=A5wiff-BkIw")</f>
        <v>https://www.youtube.com/watch?v=A5wiff-BkIw</v>
      </c>
      <c r="L246" t="inlineStr">
        <is>
          <t xml:space="preserve">So to create a Excel report from the power autate flow and SharePoint we can navigate to the make. power apps.com and from ...</t>
        </is>
      </c>
      <c r="M246" t="inlineStr">
        <is>
          <t xml:space="preserve">power automate excel automation</t>
        </is>
      </c>
    </row>
    <row r="247">
      <c r="A247" s="3">
        <v>246</v>
      </c>
      <c r="B247" t="inlineStr">
        <is>
          <t xml:space="preserve">Video</t>
        </is>
      </c>
      <c r="C247" t="inlineStr">
        <is>
          <t xml:space="preserve">English</t>
        </is>
      </c>
      <c r="D247" t="inlineStr">
        <is>
          <t xml:space="preserve">Tutorial</t>
        </is>
      </c>
      <c r="E247" t="inlineStr">
        <is>
          <t xml:space="preserve">AI/Copilot</t>
        </is>
      </c>
      <c r="F247" t="inlineStr">
        <is>
          <t xml:space="preserve">How to Use the AI Builder in Power Automate | Step-by-Step Guide</t>
        </is>
      </c>
      <c r="G247" t="inlineStr">
        <is>
          <t xml:space="preserve">Jide Fajuke</t>
        </is>
      </c>
      <c r="H247" s="3">
        <v>1084</v>
      </c>
      <c r="I247" t="inlineStr">
        <is>
          <t xml:space="preserve">1y ago</t>
        </is>
      </c>
      <c r="J247" t="inlineStr">
        <is>
          <t xml:space="preserve">8:57</t>
        </is>
      </c>
      <c r="K247" s="2" t="str">
        <f>HYPERLINK("https://www.youtube.com/watch?v=vj9mIL-wMiQ","https://www.youtube.com/watch?v=vj9mIL-wMiQ")</f>
        <v>https://www.youtube.com/watch?v=vj9mIL-wMiQ</v>
      </c>
      <c r="L247" t="inlineStr">
        <is>
          <t xml:space="preserve">Discover how to use the AI Hub in Power Automate to add intelligent automation to your workflows. From extracting data to making ...</t>
        </is>
      </c>
      <c r="M247" t="inlineStr">
        <is>
          <t xml:space="preserve">power automate AI builder</t>
        </is>
      </c>
    </row>
    <row r="248">
      <c r="A248" s="3">
        <v>247</v>
      </c>
      <c r="B248" t="inlineStr">
        <is>
          <t xml:space="preserve">Video</t>
        </is>
      </c>
      <c r="C248" t="inlineStr">
        <is>
          <t xml:space="preserve">English</t>
        </is>
      </c>
      <c r="D248" t="inlineStr">
        <is>
          <t xml:space="preserve">Tutorial</t>
        </is>
      </c>
      <c r="E248" t="inlineStr">
        <is>
          <t xml:space="preserve">AI/Copilot</t>
        </is>
      </c>
      <c r="F248" t="inlineStr">
        <is>
          <t xml:space="preserve">How to Use Microsoft AI Builder With Power Automate Easily 2026</t>
        </is>
      </c>
      <c r="G248" t="inlineStr">
        <is>
          <t xml:space="preserve">PMN Online</t>
        </is>
      </c>
      <c r="H248" s="3">
        <v>725</v>
      </c>
      <c r="I248" t="inlineStr">
        <is>
          <t xml:space="preserve">2mo ago</t>
        </is>
      </c>
      <c r="J248" t="inlineStr">
        <is>
          <t xml:space="preserve">8:43</t>
        </is>
      </c>
      <c r="K248" s="2" t="str">
        <f>HYPERLINK("https://www.youtube.com/watch?v=6gAQFUtqEwU","https://www.youtube.com/watch?v=6gAQFUtqEwU")</f>
        <v>https://www.youtube.com/watch?v=6gAQFUtqEwU</v>
      </c>
      <c r="L248" t="inlineStr">
        <is>
          <t xml:space="preserve">In this video I have shown How to Use Microsoft AI Builder With Power Automate Easily 2026. If you want to add artificial ...</t>
        </is>
      </c>
      <c r="M248" t="inlineStr">
        <is>
          <t xml:space="preserve">power automate AI builder</t>
        </is>
      </c>
    </row>
    <row r="249">
      <c r="A249" s="3">
        <v>248</v>
      </c>
      <c r="B249" t="inlineStr">
        <is>
          <t xml:space="preserve">Video</t>
        </is>
      </c>
      <c r="C249" t="inlineStr">
        <is>
          <t xml:space="preserve">English</t>
        </is>
      </c>
      <c r="D249" t="inlineStr">
        <is>
          <t xml:space="preserve">Tutorial</t>
        </is>
      </c>
      <c r="E249" t="inlineStr">
        <is>
          <t xml:space="preserve"/>
        </is>
      </c>
      <c r="F249" t="inlineStr">
        <is>
          <t xml:space="preserve">Build Your First Power Automate Flow  (Step by Step for Beginners)</t>
        </is>
      </c>
      <c r="G249" t="inlineStr">
        <is>
          <t xml:space="preserve">Power Platform with Nibha</t>
        </is>
      </c>
      <c r="H249" s="3">
        <v>712</v>
      </c>
      <c r="I249" t="inlineStr">
        <is>
          <t xml:space="preserve">5mo ago</t>
        </is>
      </c>
      <c r="J249" t="inlineStr">
        <is>
          <t xml:space="preserve">12:40</t>
        </is>
      </c>
      <c r="K249" s="2" t="str">
        <f>HYPERLINK("https://www.youtube.com/watch?v=UMriCzCV2kk","https://www.youtube.com/watch?v=UMriCzCV2kk")</f>
        <v>https://www.youtube.com/watch?v=UMriCzCV2kk</v>
      </c>
      <c r="L249" t="inlineStr">
        <is>
          <t xml:space="preserve">In this video, we're building your very first Power Automate flow — together, step by step. By the end of this video, you will have a ...</t>
        </is>
      </c>
      <c r="M249" t="inlineStr">
        <is>
          <t xml:space="preserve">power automate tutorial for beginners</t>
        </is>
      </c>
    </row>
    <row r="250">
      <c r="A250" s="3">
        <v>249</v>
      </c>
      <c r="B250" t="inlineStr">
        <is>
          <t xml:space="preserve">Video</t>
        </is>
      </c>
      <c r="C250" t="inlineStr">
        <is>
          <t xml:space="preserve">English</t>
        </is>
      </c>
      <c r="D250" t="inlineStr">
        <is>
          <t xml:space="preserve">Tutorial</t>
        </is>
      </c>
      <c r="E250" t="inlineStr">
        <is>
          <t xml:space="preserve">Desktop/RPA</t>
        </is>
      </c>
      <c r="F250" t="inlineStr">
        <is>
          <t xml:space="preserve">Create Desktop Flow in Power Automate Desktop | Full Tutorial</t>
        </is>
      </c>
      <c r="G250" t="inlineStr">
        <is>
          <t xml:space="preserve">BinaryRoots</t>
        </is>
      </c>
      <c r="H250" s="3">
        <v>657</v>
      </c>
      <c r="I250" t="inlineStr">
        <is>
          <t xml:space="preserve">11mo ago</t>
        </is>
      </c>
      <c r="J250" t="inlineStr">
        <is>
          <t xml:space="preserve">3:16</t>
        </is>
      </c>
      <c r="K250" s="2" t="str">
        <f>HYPERLINK("https://www.youtube.com/watch?v=XmxQgTzMTqA","https://www.youtube.com/watch?v=XmxQgTzMTqA")</f>
        <v>https://www.youtube.com/watch?v=XmxQgTzMTqA</v>
      </c>
      <c r="L250" t="inlineStr">
        <is>
          <t xml:space="preserve">Learn how to create Desktop Flows in Power Automate Desktop with this complete step-by-step tutorial! In this tutorial, you'll ...</t>
        </is>
      </c>
      <c r="M250" t="inlineStr">
        <is>
          <t xml:space="preserve">power automate desktop project</t>
        </is>
      </c>
    </row>
    <row r="251">
      <c r="A251" s="3">
        <v>250</v>
      </c>
      <c r="B251" t="inlineStr">
        <is>
          <t xml:space="preserve">Video</t>
        </is>
      </c>
      <c r="C251" t="inlineStr">
        <is>
          <t xml:space="preserve">English</t>
        </is>
      </c>
      <c r="D251" t="inlineStr">
        <is>
          <t xml:space="preserve">Tutorial</t>
        </is>
      </c>
      <c r="E251" t="inlineStr">
        <is>
          <t xml:space="preserve">Approvals</t>
        </is>
      </c>
      <c r="F251" t="inlineStr">
        <is>
          <t xml:space="preserve">Power Automate Approvals Made EASY! 🚀 Complete Guide + Real Demo</t>
        </is>
      </c>
      <c r="G251" t="inlineStr">
        <is>
          <t xml:space="preserve">helpmecoder</t>
        </is>
      </c>
      <c r="H251" s="3">
        <v>608</v>
      </c>
      <c r="I251" t="inlineStr">
        <is>
          <t xml:space="preserve">3w ago</t>
        </is>
      </c>
      <c r="J251" t="inlineStr">
        <is>
          <t xml:space="preserve">35:17</t>
        </is>
      </c>
      <c r="K251" s="2" t="str">
        <f>HYPERLINK("https://www.youtube.com/watch?v=04Epp2iS6EA","https://www.youtube.com/watch?v=04Epp2iS6EA")</f>
        <v>https://www.youtube.com/watch?v=04Epp2iS6EA</v>
      </c>
      <c r="L251" t="inlineStr">
        <is>
          <t xml:space="preserve">Want to automate approval processes using Microsoft Power Automate? In this video, we'll take a complete look at Power ...</t>
        </is>
      </c>
      <c r="M251" t="inlineStr">
        <is>
          <t xml:space="preserve">power automate approval workflow</t>
        </is>
      </c>
    </row>
    <row r="252">
      <c r="A252" s="3">
        <v>251</v>
      </c>
      <c r="B252" t="inlineStr">
        <is>
          <t xml:space="preserve">Video</t>
        </is>
      </c>
      <c r="C252" t="inlineStr">
        <is>
          <t xml:space="preserve">English</t>
        </is>
      </c>
      <c r="D252" t="inlineStr">
        <is>
          <t xml:space="preserve">Tutorial</t>
        </is>
      </c>
      <c r="E252" t="inlineStr">
        <is>
          <t xml:space="preserve"/>
        </is>
      </c>
      <c r="F252" t="inlineStr">
        <is>
          <t xml:space="preserve">Power Automate Advanced Tutorial</t>
        </is>
      </c>
      <c r="G252" t="inlineStr">
        <is>
          <t xml:space="preserve">Learn Skills Daily</t>
        </is>
      </c>
      <c r="H252" s="3">
        <v>581</v>
      </c>
      <c r="I252" t="inlineStr">
        <is>
          <t xml:space="preserve">3y ago</t>
        </is>
      </c>
      <c r="J252" t="inlineStr">
        <is>
          <t xml:space="preserve">1:49:51</t>
        </is>
      </c>
      <c r="K252" s="2" t="str">
        <f>HYPERLINK("https://www.youtube.com/watch?v=_lrviWxP7qo","https://www.youtube.com/watch?v=_lrviWxP7qo")</f>
        <v>https://www.youtube.com/watch?v=_lrviWxP7qo</v>
      </c>
      <c r="L252" t="inlineStr">
        <is>
          <t xml:space="preserve">Power Automate Advanced Tutorial Get Ad-Free Training by becoming a member today!</t>
        </is>
      </c>
      <c r="M252" t="inlineStr">
        <is>
          <t xml:space="preserve">power automate advanced tutorial</t>
        </is>
      </c>
    </row>
    <row r="253">
      <c r="A253" s="3">
        <v>252</v>
      </c>
      <c r="B253" t="inlineStr">
        <is>
          <t xml:space="preserve">Video</t>
        </is>
      </c>
      <c r="C253" t="inlineStr">
        <is>
          <t xml:space="preserve">English</t>
        </is>
      </c>
      <c r="D253" t="inlineStr">
        <is>
          <t xml:space="preserve">Tutorial</t>
        </is>
      </c>
      <c r="E253" t="inlineStr">
        <is>
          <t xml:space="preserve">Desktop/RPA</t>
        </is>
      </c>
      <c r="F253" t="inlineStr">
        <is>
          <t xml:space="preserve">Power Automate Desktop Beginner Tutorial | Automate Google Search in 6 Minutes</t>
        </is>
      </c>
      <c r="G253" t="inlineStr">
        <is>
          <t xml:space="preserve">Smart Bot Sphere</t>
        </is>
      </c>
      <c r="H253" s="3">
        <v>475</v>
      </c>
      <c r="I253" t="inlineStr">
        <is>
          <t xml:space="preserve">4mo ago</t>
        </is>
      </c>
      <c r="J253" t="inlineStr">
        <is>
          <t xml:space="preserve">6:11</t>
        </is>
      </c>
      <c r="K253" s="2" t="str">
        <f>HYPERLINK("https://www.youtube.com/watch?v=RUZ9NMIbUQk","https://www.youtube.com/watch?v=RUZ9NMIbUQk")</f>
        <v>https://www.youtube.com/watch?v=RUZ9NMIbUQk</v>
      </c>
      <c r="L253" t="inlineStr">
        <is>
          <t xml:space="preserve">Learn how to automate a basic Google Search using Power Automate Desktop in just 6 minutes — completely beginner friendly ...</t>
        </is>
      </c>
      <c r="M253" t="inlineStr">
        <is>
          <t xml:space="preserve">power automate desktop project</t>
        </is>
      </c>
    </row>
    <row r="254">
      <c r="A254" s="3">
        <v>253</v>
      </c>
      <c r="B254" t="inlineStr">
        <is>
          <t xml:space="preserve">Video</t>
        </is>
      </c>
      <c r="C254" t="inlineStr">
        <is>
          <t xml:space="preserve">English</t>
        </is>
      </c>
      <c r="D254" t="inlineStr">
        <is>
          <t xml:space="preserve">Tutorial</t>
        </is>
      </c>
      <c r="E254" t="inlineStr">
        <is>
          <t xml:space="preserve">AI/Copilot</t>
        </is>
      </c>
      <c r="F254" t="inlineStr">
        <is>
          <t xml:space="preserve">Classify Text Automatically with AI Builder in Power Automate</t>
        </is>
      </c>
      <c r="G254" t="inlineStr">
        <is>
          <t xml:space="preserve">Power Tech Speck (Girish Uppal)</t>
        </is>
      </c>
      <c r="H254" s="3">
        <v>449</v>
      </c>
      <c r="I254" t="inlineStr">
        <is>
          <t xml:space="preserve">5mo ago</t>
        </is>
      </c>
      <c r="J254" t="inlineStr">
        <is>
          <t xml:space="preserve">13:13</t>
        </is>
      </c>
      <c r="K254" s="2" t="str">
        <f>HYPERLINK("https://www.youtube.com/watch?v=6YRA-2pmCrw","https://www.youtube.com/watch?v=6YRA-2pmCrw")</f>
        <v>https://www.youtube.com/watch?v=6YRA-2pmCrw</v>
      </c>
      <c r="L254" t="inlineStr">
        <is>
          <t xml:space="preserve">This video explores the category classification action within AI Builder, a powerful feature for ai automation in Power Automate.</t>
        </is>
      </c>
      <c r="M254" t="inlineStr">
        <is>
          <t xml:space="preserve">power automate AI builder</t>
        </is>
      </c>
    </row>
    <row r="255">
      <c r="A255" s="3">
        <v>254</v>
      </c>
      <c r="B255" t="inlineStr">
        <is>
          <t xml:space="preserve">Video</t>
        </is>
      </c>
      <c r="C255" t="inlineStr">
        <is>
          <t xml:space="preserve">English</t>
        </is>
      </c>
      <c r="D255" t="inlineStr">
        <is>
          <t xml:space="preserve">Tutorial</t>
        </is>
      </c>
      <c r="E255" t="inlineStr">
        <is>
          <t xml:space="preserve">AI/Copilot</t>
        </is>
      </c>
      <c r="F255" t="inlineStr">
        <is>
          <t xml:space="preserve">How to Build Zero-Code Workflows Using Copilot &amp; Power Automate (Step-by-Step)</t>
        </is>
      </c>
      <c r="G255" t="inlineStr">
        <is>
          <t xml:space="preserve">AI Workflow Lab</t>
        </is>
      </c>
      <c r="H255" s="3">
        <v>334</v>
      </c>
      <c r="I255" t="inlineStr">
        <is>
          <t xml:space="preserve">10mo ago</t>
        </is>
      </c>
      <c r="J255" t="inlineStr">
        <is>
          <t xml:space="preserve">12:03</t>
        </is>
      </c>
      <c r="K255" s="2" t="str">
        <f>HYPERLINK("https://www.youtube.com/watch?v=Qmscdcr1gy4","https://www.youtube.com/watch?v=Qmscdcr1gy4")</f>
        <v>https://www.youtube.com/watch?v=Qmscdcr1gy4</v>
      </c>
      <c r="L255" t="inlineStr">
        <is>
          <t xml:space="preserve">Forget complicated automation setup—with Microsoft Copilot, you can create Power Automate flows using plain English.</t>
        </is>
      </c>
      <c r="M255" t="inlineStr">
        <is>
          <t xml:space="preserve">power automate copilot</t>
        </is>
      </c>
    </row>
    <row r="256">
      <c r="A256" s="3">
        <v>255</v>
      </c>
      <c r="B256" t="inlineStr">
        <is>
          <t xml:space="preserve">Video</t>
        </is>
      </c>
      <c r="C256" t="inlineStr">
        <is>
          <t xml:space="preserve">English</t>
        </is>
      </c>
      <c r="D256" t="inlineStr">
        <is>
          <t xml:space="preserve">Tutorial</t>
        </is>
      </c>
      <c r="E256" t="inlineStr">
        <is>
          <t xml:space="preserve">AI/Copilot</t>
        </is>
      </c>
      <c r="F256" t="inlineStr">
        <is>
          <t xml:space="preserve">How To Enable Copilot For Power Automate [Step By Step Guide]</t>
        </is>
      </c>
      <c r="G256" t="inlineStr">
        <is>
          <t xml:space="preserve">Tutorials With Charles</t>
        </is>
      </c>
      <c r="H256" s="3">
        <v>148</v>
      </c>
      <c r="I256" t="inlineStr">
        <is>
          <t xml:space="preserve">1mo ago</t>
        </is>
      </c>
      <c r="J256" t="inlineStr">
        <is>
          <t xml:space="preserve">2:32</t>
        </is>
      </c>
      <c r="K256" s="2" t="str">
        <f>HYPERLINK("https://www.youtube.com/watch?v=kJdXS5PBPvI","https://www.youtube.com/watch?v=kJdXS5PBPvI")</f>
        <v>https://www.youtube.com/watch?v=kJdXS5PBPvI</v>
      </c>
      <c r="L256" t="inlineStr">
        <is>
          <t xml:space="preserve">In today's video we cover How To Enable Copilot For Power Automate [Step By Step Guide] This tutorial will walk you through ...</t>
        </is>
      </c>
      <c r="M256" t="inlineStr">
        <is>
          <t xml:space="preserve">power automate copilot</t>
        </is>
      </c>
    </row>
  </sheetData>
  <autoFilter ref="A1:M25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5" customWidth="1"/>
    <col min="2" max="2" width="9" customWidth="1"/>
    <col min="3" max="3" width="10" customWidth="1"/>
    <col min="4" max="4" width="18" customWidth="1"/>
    <col min="5" max="5" width="24" customWidth="1"/>
    <col min="6" max="6" width="60" customWidth="1"/>
    <col min="7" max="7" width="26" customWidth="1"/>
    <col min="8" max="8" width="12" customWidth="1"/>
    <col min="9" max="9" width="16" customWidth="1"/>
    <col min="10" max="10" width="14" customWidth="1"/>
    <col min="11" max="11" width="48" customWidth="1"/>
    <col min="12" max="12" width="70" customWidth="1"/>
    <col min="13" max="13" width="40" customWidth="1"/>
  </cols>
  <sheetData>
    <row r="1">
      <c r="A1" s="1" t="inlineStr">
        <is>
          <t>#</t>
        </is>
      </c>
      <c r="B1" s="1" t="inlineStr">
        <is>
          <t>Type</t>
        </is>
      </c>
      <c r="C1" s="1" t="inlineStr">
        <is>
          <t>Language</t>
        </is>
      </c>
      <c r="D1" s="1" t="inlineStr">
        <is>
          <t>Category</t>
        </is>
      </c>
      <c r="E1" s="1" t="inlineStr">
        <is>
          <t>Topic Areas</t>
        </is>
      </c>
      <c r="F1" s="1" t="inlineStr">
        <is>
          <t>Title</t>
        </is>
      </c>
      <c r="G1" s="1" t="inlineStr">
        <is>
          <t>Channel</t>
        </is>
      </c>
      <c r="H1" s="1" t="inlineStr">
        <is>
          <t>Views</t>
        </is>
      </c>
      <c r="I1" s="1" t="inlineStr">
        <is>
          <t>Published</t>
        </is>
      </c>
      <c r="J1" s="1" t="inlineStr">
        <is>
          <t>Duration / Videos</t>
        </is>
      </c>
      <c r="K1" s="1" t="inlineStr">
        <is>
          <t>Link</t>
        </is>
      </c>
      <c r="L1" s="1" t="inlineStr">
        <is>
          <t>Description (snippet)</t>
        </is>
      </c>
      <c r="M1" s="1" t="inlineStr">
        <is>
          <t>Found via search</t>
        </is>
      </c>
    </row>
    <row r="2">
      <c r="A2" s="3">
        <v>1</v>
      </c>
      <c r="B2" t="inlineStr">
        <is>
          <t xml:space="preserve">Video</t>
        </is>
      </c>
      <c r="C2" t="inlineStr">
        <is>
          <t xml:space="preserve">Hindi</t>
        </is>
      </c>
      <c r="D2" t="inlineStr">
        <is>
          <t xml:space="preserve">Course</t>
        </is>
      </c>
      <c r="E2" t="inlineStr">
        <is>
          <t xml:space="preserve">Desktop/RPA</t>
        </is>
      </c>
      <c r="F2" t="inlineStr">
        <is>
          <t xml:space="preserve">Power Automate Desktop for Beginners | Learn Power Automate Desktop in हिंदी</t>
        </is>
      </c>
      <c r="G2" t="inlineStr">
        <is>
          <t xml:space="preserve">KT Sessions</t>
        </is>
      </c>
      <c r="H2" s="3">
        <v>19214</v>
      </c>
      <c r="I2" t="inlineStr">
        <is>
          <t xml:space="preserve">1y ago</t>
        </is>
      </c>
      <c r="J2" t="inlineStr">
        <is>
          <t xml:space="preserve">1:00:02</t>
        </is>
      </c>
      <c r="K2" s="2" t="str">
        <f>HYPERLINK("https://www.youtube.com/watch?v=NwRwyoK1G7w","https://www.youtube.com/watch?v=NwRwyoK1G7w")</f>
        <v>https://www.youtube.com/watch?v=NwRwyoK1G7w</v>
      </c>
      <c r="L2" t="inlineStr">
        <is>
          <t xml:space="preserve">... Desktop for Beginners,power automate,kt sessions,rpa tutorial,power automate desktop,power automate complete course,ui ...</t>
        </is>
      </c>
      <c r="M2" t="inlineStr">
        <is>
          <t xml:space="preserve">power automate desktop full course ; power automate tutorial in hindi ; power automate full course hindi ; power automate desktop hindi ; power automate project hindi ; power automate hindi ; power automate desktop bangla ; power automate in hindi</t>
        </is>
      </c>
    </row>
    <row r="3">
      <c r="A3" s="3">
        <v>2</v>
      </c>
      <c r="B3" t="inlineStr">
        <is>
          <t xml:space="preserve">Video</t>
        </is>
      </c>
      <c r="C3" t="inlineStr">
        <is>
          <t xml:space="preserve">Hindi</t>
        </is>
      </c>
      <c r="D3" t="inlineStr">
        <is>
          <t xml:space="preserve">Course</t>
        </is>
      </c>
      <c r="E3" t="inlineStr">
        <is>
          <t xml:space="preserve"/>
        </is>
      </c>
      <c r="F3" t="inlineStr">
        <is>
          <t xml:space="preserve">What is Power Automate? | Power Automate Tutorial in English</t>
        </is>
      </c>
      <c r="G3" t="inlineStr">
        <is>
          <t xml:space="preserve">KnowHow Academy Hindi</t>
        </is>
      </c>
      <c r="H3" s="3">
        <v>3001</v>
      </c>
      <c r="I3" t="inlineStr">
        <is>
          <t xml:space="preserve">2y ago</t>
        </is>
      </c>
      <c r="J3" t="inlineStr">
        <is>
          <t xml:space="preserve">17:20</t>
        </is>
      </c>
      <c r="K3" s="2" t="str">
        <f>HYPERLINK("https://www.youtube.com/watch?v=MWDdMxZJW0w","https://www.youtube.com/watch?v=MWDdMxZJW0w")</f>
        <v>https://www.youtube.com/watch?v=MWDdMxZJW0w</v>
      </c>
      <c r="L3" t="inlineStr">
        <is>
          <t xml:space="preserve">Welcome to the Power Automate tutorial series in Hindi! In this comprehensive playlist, you will learn everything you need to ...</t>
        </is>
      </c>
      <c r="M3" t="inlineStr">
        <is>
          <t xml:space="preserve">power automate tutorial in hindi ; power automate desktop hindi ; power automate hindi ; power automate in hindi</t>
        </is>
      </c>
    </row>
    <row r="4">
      <c r="A4" s="3">
        <v>3</v>
      </c>
      <c r="B4" t="inlineStr">
        <is>
          <t xml:space="preserve">Playlist</t>
        </is>
      </c>
      <c r="C4" t="inlineStr">
        <is>
          <t xml:space="preserve">Hindi</t>
        </is>
      </c>
      <c r="D4" t="inlineStr">
        <is>
          <t xml:space="preserve">Course</t>
        </is>
      </c>
      <c r="E4" t="inlineStr">
        <is>
          <t xml:space="preserve"/>
        </is>
      </c>
      <c r="F4" t="inlineStr">
        <is>
          <t xml:space="preserve">Power Automate-Hindi</t>
        </is>
      </c>
      <c r="G4" t="inlineStr">
        <is>
          <t xml:space="preserve">Lotusamaze</t>
        </is>
      </c>
      <c r="H4" t="inlineStr">
        <is>
          <t xml:space="preserve"/>
        </is>
      </c>
      <c r="I4" t="inlineStr">
        <is>
          <t xml:space="preserve"/>
        </is>
      </c>
      <c r="J4" t="inlineStr">
        <is>
          <t xml:space="preserve">12 videos</t>
        </is>
      </c>
      <c r="K4" s="2" t="str">
        <f>HYPERLINK("https://www.youtube.com/playlist?list=PLKpO3lQqxJ6YTQJMeeqJHUiJtNk8cGTLg","https://www.youtube.com/playlist?list=PLKpO3lQqxJ6YTQJMeeqJHUiJtNk8cGTLg")</f>
        <v>https://www.youtube.com/playlist?list=PLKpO3lQqxJ6YTQJMeeqJHUiJtNk8cGTLg</v>
      </c>
      <c r="L4" t="inlineStr">
        <is>
          <t xml:space="preserve">Playlist | Microsoft Power Automate - Introduction | Hindi · 6:19 | MS Power Automate | Glossary | Commonly Used Terms | hindi · 5:54 | View full playlist | Power Automate tutorial playlist in hindi covers all topics of power automate with examples and diagram.</t>
        </is>
      </c>
      <c r="M4" t="inlineStr">
        <is>
          <t xml:space="preserve">power automate full course ; power automate desktop full course ; power automate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5">
      <c r="A5" s="3">
        <v>4</v>
      </c>
      <c r="B5" t="inlineStr">
        <is>
          <t xml:space="preserve">Playlist</t>
        </is>
      </c>
      <c r="C5" t="inlineStr">
        <is>
          <t xml:space="preserve">Hindi</t>
        </is>
      </c>
      <c r="D5" t="inlineStr">
        <is>
          <t xml:space="preserve">Course</t>
        </is>
      </c>
      <c r="E5" t="inlineStr">
        <is>
          <t xml:space="preserve">SharePoint, Excel</t>
        </is>
      </c>
      <c r="F5" t="inlineStr">
        <is>
          <t xml:space="preserve">MS Power Automate Tutorial for Beginners In Hindi</t>
        </is>
      </c>
      <c r="G5" t="inlineStr">
        <is>
          <t xml:space="preserve">Technical Knowledge Beta</t>
        </is>
      </c>
      <c r="H5" t="inlineStr">
        <is>
          <t xml:space="preserve"/>
        </is>
      </c>
      <c r="I5" t="inlineStr">
        <is>
          <t xml:space="preserve"/>
        </is>
      </c>
      <c r="J5" t="inlineStr">
        <is>
          <t xml:space="preserve">25 videos</t>
        </is>
      </c>
      <c r="K5" s="2" t="str">
        <f>HYPERLINK("https://www.youtube.com/playlist?list=PLTfRAJIKuTE3px_eE3huBt4TRQ6Mv8-nS","https://www.youtube.com/playlist?list=PLTfRAJIKuTE3px_eE3huBt4TRQ6Mv8-nS")</f>
        <v>https://www.youtube.com/playlist?list=PLTfRAJIKuTE3px_eE3huBt4TRQ6Mv8-nS</v>
      </c>
      <c r="L5" t="inlineStr">
        <is>
          <t xml:space="preserve">Playlist | MS Power Automate Tutorial for beginners in Hindi | · 11:13 | A MS Flow to automatically update SharePoint List using excel in Hindi · 32:53 | View full playlist</t>
        </is>
      </c>
      <c r="M5" t="inlineStr">
        <is>
          <t xml:space="preserve">power automate full course ; power automate tutorial for beginners ; power automate desktop full course ; power automate tutorial playlist ; power automate tutorial in hindi ; power automate full course hindi ; power automate desktop hindi ; power automate project hindi ; power automate hindi ; power automate tutorial bangla ; power automate bangla ; power automate desktop bangla ; microsoft power automate bangla tutorial ; পাওয়ার অটোমেট ; power automate in hindi</t>
        </is>
      </c>
    </row>
    <row r="6">
      <c r="A6" s="3">
        <v>5</v>
      </c>
      <c r="B6" t="inlineStr">
        <is>
          <t xml:space="preserve">Playlist</t>
        </is>
      </c>
      <c r="C6" t="inlineStr">
        <is>
          <t xml:space="preserve">Hindi</t>
        </is>
      </c>
      <c r="D6" t="inlineStr">
        <is>
          <t xml:space="preserve">Course</t>
        </is>
      </c>
      <c r="E6" t="inlineStr">
        <is>
          <t xml:space="preserve">Desktop/RPA</t>
        </is>
      </c>
      <c r="F6" t="inlineStr">
        <is>
          <t xml:space="preserve">Power automate desktop in Hindi</t>
        </is>
      </c>
      <c r="G6" t="inlineStr">
        <is>
          <t xml:space="preserve">Automation only</t>
        </is>
      </c>
      <c r="H6" t="inlineStr">
        <is>
          <t xml:space="preserve"/>
        </is>
      </c>
      <c r="I6" t="inlineStr">
        <is>
          <t xml:space="preserve"/>
        </is>
      </c>
      <c r="J6" t="inlineStr">
        <is>
          <t xml:space="preserve">20 videos</t>
        </is>
      </c>
      <c r="K6" s="2" t="str">
        <f>HYPERLINK("https://www.youtube.com/playlist?list=PLxkWQlJUD4AK4HZcptIUWVnzJFq-fobCE","https://www.youtube.com/playlist?list=PLxkWQlJUD4AK4HZcptIUWVnzJFq-fobCE")</f>
        <v>https://www.youtube.com/playlist?list=PLxkWQlJUD4AK4HZcptIUWVnzJFq-fobCE</v>
      </c>
      <c r="L6" t="inlineStr">
        <is>
          <t xml:space="preserve">Playlist | Power Automate Desktop (Hindi):Using Set Variable to create Data Table · 2:27 | Power Automate Desktop: How to use Convert Text to number Action · 11:25 | View full playlist</t>
        </is>
      </c>
      <c r="M6" t="inlineStr">
        <is>
          <t xml:space="preserve">power automate desktop ; power automate tutorial in hindi ; power automate desktop hindi ; power automate project hindi ; power automate hindi ; power automate in hindi</t>
        </is>
      </c>
    </row>
    <row r="7">
      <c r="A7" s="3">
        <v>6</v>
      </c>
      <c r="B7" t="inlineStr">
        <is>
          <t xml:space="preserve">Playlist</t>
        </is>
      </c>
      <c r="C7" t="inlineStr">
        <is>
          <t xml:space="preserve">Hindi</t>
        </is>
      </c>
      <c r="D7" t="inlineStr">
        <is>
          <t xml:space="preserve">Course</t>
        </is>
      </c>
      <c r="E7" t="inlineStr">
        <is>
          <t xml:space="preserve">Email/Outlook, Teams, AI/Copilot, Power Apps, Forms</t>
        </is>
      </c>
      <c r="F7" t="inlineStr">
        <is>
          <t xml:space="preserve">Power Automate Hindi | Power Automate Full Tutorial Hindi</t>
        </is>
      </c>
      <c r="G7" t="inlineStr">
        <is>
          <t xml:space="preserve">KnowHow Academy Hindi</t>
        </is>
      </c>
      <c r="H7" t="inlineStr">
        <is>
          <t xml:space="preserve"/>
        </is>
      </c>
      <c r="I7" t="inlineStr">
        <is>
          <t xml:space="preserve"/>
        </is>
      </c>
      <c r="J7" t="inlineStr">
        <is>
          <t xml:space="preserve">18 videos</t>
        </is>
      </c>
      <c r="K7" s="2" t="str">
        <f>HYPERLINK("https://www.youtube.com/playlist?list=PLqgXpspN6iFGQdFAeVTF5-uCq1oFcACU9","https://www.youtube.com/playlist?list=PLqgXpspN6iFGQdFAeVTF5-uCq1oFcACU9")</f>
        <v>https://www.youtube.com/playlist?list=PLqgXpspN6iFGQdFAeVTF5-uCq1oFcACU9</v>
      </c>
      <c r="L7" t="inlineStr">
        <is>
          <t xml:space="preserve">Playlist | Automate Invoices &amp; Collect Payments INSTANTLY with DocuSign + Power Automate (No-Code) · 10:02 | How to Automate HR Leave Requests in Microsoft Teams | Power Automate + Copilot Studio · 24:23 | View full playlist | Welcome to our Power Automate Hindi playlist, designed to take you from B</t>
        </is>
      </c>
      <c r="M7" t="inlineStr">
        <is>
          <t xml:space="preserve">power automate tutorial in hindi ; power automate full course hindi ; power automate desktop hindi ; power automate project hindi ; power automate hindi ; power automate in hindi</t>
        </is>
      </c>
    </row>
    <row r="8">
      <c r="A8" s="3">
        <v>7</v>
      </c>
      <c r="B8" t="inlineStr">
        <is>
          <t xml:space="preserve">Playlist</t>
        </is>
      </c>
      <c r="C8" t="inlineStr">
        <is>
          <t xml:space="preserve">Hindi</t>
        </is>
      </c>
      <c r="D8" t="inlineStr">
        <is>
          <t xml:space="preserve">Course</t>
        </is>
      </c>
      <c r="E8" t="inlineStr">
        <is>
          <t xml:space="preserve"/>
        </is>
      </c>
      <c r="F8" t="inlineStr">
        <is>
          <t xml:space="preserve">Power Automate (Hindi) - January 2026</t>
        </is>
      </c>
      <c r="G8" t="inlineStr">
        <is>
          <t xml:space="preserve">Rohit Tyagi RKT</t>
        </is>
      </c>
      <c r="H8" t="inlineStr">
        <is>
          <t xml:space="preserve"/>
        </is>
      </c>
      <c r="I8" t="inlineStr">
        <is>
          <t xml:space="preserve"/>
        </is>
      </c>
      <c r="J8" t="inlineStr">
        <is>
          <t xml:space="preserve">16 videos</t>
        </is>
      </c>
      <c r="K8" s="2" t="str">
        <f>HYPERLINK("https://www.youtube.com/playlist?list=PLCNV2ZC6lH1ikqDK1nAfBpnHIzx_1FuHI","https://www.youtube.com/playlist?list=PLCNV2ZC6lH1ikqDK1nAfBpnHIzx_1FuHI")</f>
        <v>https://www.youtube.com/playlist?list=PLCNV2ZC6lH1ikqDK1nAfBpnHIzx_1FuHI</v>
      </c>
      <c r="L8" t="inlineStr">
        <is>
          <t xml:space="preserve">Playlist | Power Automate Basic Full Jan 2026 · 6:15:20 | PAT 14 :- DATA OPERATION &amp; variables · 1:00:36 | View full playlist</t>
        </is>
      </c>
      <c r="M8" t="inlineStr">
        <is>
          <t xml:space="preserve">power automate tutorial in hindi ; power automate full course hindi ; power automate desktop hindi ; power automate project hindi ; power automate hindi ; power automate in hindi</t>
        </is>
      </c>
    </row>
    <row r="9">
      <c r="A9" s="3">
        <v>8</v>
      </c>
      <c r="B9" t="inlineStr">
        <is>
          <t xml:space="preserve">Playlist</t>
        </is>
      </c>
      <c r="C9" t="inlineStr">
        <is>
          <t xml:space="preserve">Hindi</t>
        </is>
      </c>
      <c r="D9" t="inlineStr">
        <is>
          <t xml:space="preserve">Course</t>
        </is>
      </c>
      <c r="E9" t="inlineStr">
        <is>
          <t xml:space="preserve">SharePoint, Excel</t>
        </is>
      </c>
      <c r="F9" t="inlineStr">
        <is>
          <t xml:space="preserve">Power Automate Tutorial For Beginners</t>
        </is>
      </c>
      <c r="G9" t="inlineStr">
        <is>
          <t xml:space="preserve">Technical Smahajan</t>
        </is>
      </c>
      <c r="H9" t="inlineStr">
        <is>
          <t xml:space="preserve"/>
        </is>
      </c>
      <c r="I9" t="inlineStr">
        <is>
          <t xml:space="preserve"/>
        </is>
      </c>
      <c r="J9" t="inlineStr">
        <is>
          <t xml:space="preserve">6 videos</t>
        </is>
      </c>
      <c r="K9" s="2" t="str">
        <f>HYPERLINK("https://www.youtube.com/playlist?list=PLQGxFvzUq0au99Ok_L3tI-33E_V23cTiN","https://www.youtube.com/playlist?list=PLQGxFvzUq0au99Ok_L3tI-33E_V23cTiN")</f>
        <v>https://www.youtube.com/playlist?list=PLQGxFvzUq0au99Ok_L3tI-33E_V23cTiN</v>
      </c>
      <c r="L9" t="inlineStr">
        <is>
          <t xml:space="preserve">Playlist | Power Automate Tutorial For Beginners | In Hindi · 8:24 | How to Import Excel Data to SharePoint List using Power Automate | Hindi · 8:01 | View full playlist | This is power automate series for beginners. In this series we will discus on work flow. How to create work flow step by step.</t>
        </is>
      </c>
      <c r="M9" t="inlineStr">
        <is>
          <t xml:space="preserve">power automate hindi</t>
        </is>
      </c>
    </row>
    <row r="10">
      <c r="A10" s="3">
        <v>9</v>
      </c>
      <c r="B10" t="inlineStr">
        <is>
          <t xml:space="preserve">Video</t>
        </is>
      </c>
      <c r="C10" t="inlineStr">
        <is>
          <t xml:space="preserve">Hindi</t>
        </is>
      </c>
      <c r="D10" t="inlineStr">
        <is>
          <t xml:space="preserve">Project / Use case</t>
        </is>
      </c>
      <c r="E10" t="inlineStr">
        <is>
          <t xml:space="preserve">Excel, Email/Outlook</t>
        </is>
      </c>
      <c r="F10" t="inlineStr">
        <is>
          <t xml:space="preserve">Case Study: Power Automate Tutorial - Filtering Excel Data and Creating Email Loops [Hindi]</t>
        </is>
      </c>
      <c r="G10" t="inlineStr">
        <is>
          <t xml:space="preserve">Learn At Home</t>
        </is>
      </c>
      <c r="H10" s="3">
        <v>6284</v>
      </c>
      <c r="I10" t="inlineStr">
        <is>
          <t xml:space="preserve">2y ago</t>
        </is>
      </c>
      <c r="J10" t="inlineStr">
        <is>
          <t xml:space="preserve">21:39</t>
        </is>
      </c>
      <c r="K10" s="2" t="str">
        <f>HYPERLINK("https://www.youtube.com/watch?v=evwEdyv5vXM","https://www.youtube.com/watch?v=evwEdyv5vXM")</f>
        <v>https://www.youtube.com/watch?v=evwEdyv5vXM</v>
      </c>
      <c r="L10" t="inlineStr">
        <is>
          <t xml:space="preserve">Need Personal Help with Power BI, DAX, SQL, Power Automate or Microsoft Fabric? Stuck on a problem? Preparing for an ...</t>
        </is>
      </c>
      <c r="M10" t="inlineStr">
        <is>
          <t xml:space="preserve">power automate in hindi</t>
        </is>
      </c>
    </row>
    <row r="11">
      <c r="A11" s="3">
        <v>10</v>
      </c>
      <c r="B11" t="inlineStr">
        <is>
          <t xml:space="preserve">Video</t>
        </is>
      </c>
      <c r="C11" t="inlineStr">
        <is>
          <t xml:space="preserve">Hindi</t>
        </is>
      </c>
      <c r="D11" t="inlineStr">
        <is>
          <t xml:space="preserve">Project / Use case</t>
        </is>
      </c>
      <c r="E11" t="inlineStr">
        <is>
          <t xml:space="preserve"/>
        </is>
      </c>
      <c r="F11" t="inlineStr">
        <is>
          <t xml:space="preserve">Create a Real-Time Dashboard Using SQL Server, Power BI &amp; Power Automate (Hindi)</t>
        </is>
      </c>
      <c r="G11" t="inlineStr">
        <is>
          <t xml:space="preserve">KnowHow Academy Hindi</t>
        </is>
      </c>
      <c r="H11" s="3">
        <v>3949</v>
      </c>
      <c r="I11" t="inlineStr">
        <is>
          <t xml:space="preserve">1y ago</t>
        </is>
      </c>
      <c r="J11" t="inlineStr">
        <is>
          <t xml:space="preserve">22:20</t>
        </is>
      </c>
      <c r="K11" s="2" t="str">
        <f>HYPERLINK("https://www.youtube.com/watch?v=CivCsdavPlA","https://www.youtube.com/watch?v=CivCsdavPlA")</f>
        <v>https://www.youtube.com/watch?v=CivCsdavPlA</v>
      </c>
      <c r="L11" t="inlineStr">
        <is>
          <t xml:space="preserve">In this video of SQL, you will learn how to build a real-time executive dashboard using SQL Server, Power BI, and Power ...</t>
        </is>
      </c>
      <c r="M11" t="inlineStr">
        <is>
          <t xml:space="preserve">power automate project hindi</t>
        </is>
      </c>
    </row>
    <row r="12">
      <c r="A12" s="3">
        <v>11</v>
      </c>
      <c r="B12" t="inlineStr">
        <is>
          <t xml:space="preserve">Playlist</t>
        </is>
      </c>
      <c r="C12" t="inlineStr">
        <is>
          <t xml:space="preserve">Hindi</t>
        </is>
      </c>
      <c r="D12" t="inlineStr">
        <is>
          <t xml:space="preserve">Project / Use case</t>
        </is>
      </c>
      <c r="E12" t="inlineStr">
        <is>
          <t xml:space="preserve">AI/Copilot</t>
        </is>
      </c>
      <c r="F12" t="inlineStr">
        <is>
          <t xml:space="preserve">Learn Full Course on Make.com Ai Automation in Hindi &amp; Urdu for free | 2025</t>
        </is>
      </c>
      <c r="G12" t="inlineStr">
        <is>
          <t xml:space="preserve">Musharaf Khan</t>
        </is>
      </c>
      <c r="H12" t="inlineStr">
        <is>
          <t xml:space="preserve"/>
        </is>
      </c>
      <c r="I12" t="inlineStr">
        <is>
          <t xml:space="preserve"/>
        </is>
      </c>
      <c r="J12" t="inlineStr">
        <is>
          <t xml:space="preserve">9 videos</t>
        </is>
      </c>
      <c r="K12" s="2" t="str">
        <f>HYPERLINK("https://www.youtube.com/playlist?list=PLEnL96TUuJ_T7DFYx7bYlfWKDXRzDlvuo","https://www.youtube.com/playlist?list=PLEnL96TUuJ_T7DFYx7bYlfWKDXRzDlvuo")</f>
        <v>https://www.youtube.com/playlist?list=PLEnL96TUuJ_T7DFYx7bYlfWKDXRzDlvuo</v>
      </c>
      <c r="L12" t="inlineStr">
        <is>
          <t xml:space="preserve">Playlist | Make.com Masterclass | Learn Make.com Ai Automation | Full Course in Hindi &amp; Urdu | Chapter 1 · 25:30 | Make.com Masterclass | Learn Make.com Ai Automation | Full Course in Hindi &amp; Urdu | Chapter 2 · 13:06 | View full playlist | Welcome to the full comprehensive course for Make.com Ai Aut</t>
        </is>
      </c>
      <c r="M12" t="inlineStr">
        <is>
          <t xml:space="preserve">power automate full course hindi</t>
        </is>
      </c>
    </row>
    <row r="13">
      <c r="A13" s="3">
        <v>12</v>
      </c>
      <c r="B13" t="inlineStr">
        <is>
          <t xml:space="preserve">Video</t>
        </is>
      </c>
      <c r="C13" t="inlineStr">
        <is>
          <t xml:space="preserve">Hindi</t>
        </is>
      </c>
      <c r="D13" t="inlineStr">
        <is>
          <t xml:space="preserve">Tutorial</t>
        </is>
      </c>
      <c r="E13" t="inlineStr">
        <is>
          <t xml:space="preserve"/>
        </is>
      </c>
      <c r="F13" t="inlineStr">
        <is>
          <t xml:space="preserve">इसका पावर 💪आप नहीं जानते | Power automate tutorial in Hindi</t>
        </is>
      </c>
      <c r="G13" t="inlineStr">
        <is>
          <t xml:space="preserve">Learn More</t>
        </is>
      </c>
      <c r="H13" s="3">
        <v>137173</v>
      </c>
      <c r="I13" t="inlineStr">
        <is>
          <t xml:space="preserve">4y ago</t>
        </is>
      </c>
      <c r="J13" t="inlineStr">
        <is>
          <t xml:space="preserve">38:57</t>
        </is>
      </c>
      <c r="K13" s="2" t="str">
        <f>HYPERLINK("https://www.youtube.com/watch?v=AshLO-Bs3JA","https://www.youtube.com/watch?v=AshLO-Bs3JA")</f>
        <v>https://www.youtube.com/watch?v=AshLO-Bs3JA</v>
      </c>
      <c r="L13" t="inlineStr">
        <is>
          <t xml:space="preserve">इसका पावर आप नहीं जानते | Power automate tutorial in Hindi Aaj ke is video mai ek #microsoft ke powerful ...</t>
        </is>
      </c>
      <c r="M13" t="inlineStr">
        <is>
          <t xml:space="preserve">power automate tutorial in hindi ; power automate full course hindi ; power automate desktop hindi ; power automate project hindi ; power automate hindi ; power automate desktop bangla ; পাওয়ার অটোমেট ; power automate in hindi</t>
        </is>
      </c>
    </row>
    <row r="14">
      <c r="A14" s="3">
        <v>13</v>
      </c>
      <c r="B14" t="inlineStr">
        <is>
          <t xml:space="preserve">Video</t>
        </is>
      </c>
      <c r="C14" t="inlineStr">
        <is>
          <t xml:space="preserve">Hindi</t>
        </is>
      </c>
      <c r="D14" t="inlineStr">
        <is>
          <t xml:space="preserve">Tutorial</t>
        </is>
      </c>
      <c r="E14" t="inlineStr">
        <is>
          <t xml:space="preserve"/>
        </is>
      </c>
      <c r="F14" t="inlineStr">
        <is>
          <t xml:space="preserve">शुरुआती लोगों के लिए MS Power Automate ट्यूटोरियल हिंदी में |</t>
        </is>
      </c>
      <c r="G14" t="inlineStr">
        <is>
          <t xml:space="preserve">Technical Knowledge Beta</t>
        </is>
      </c>
      <c r="H14" s="3">
        <v>55936</v>
      </c>
      <c r="I14" t="inlineStr">
        <is>
          <t xml:space="preserve">5y ago</t>
        </is>
      </c>
      <c r="J14" t="inlineStr">
        <is>
          <t xml:space="preserve">11:13</t>
        </is>
      </c>
      <c r="K14" s="2" t="str">
        <f>HYPERLINK("https://www.youtube.com/watch?v=uCG5LyNB4Hw","https://www.youtube.com/watch?v=uCG5LyNB4Hw")</f>
        <v>https://www.youtube.com/watch?v=uCG5LyNB4Hw</v>
      </c>
      <c r="L14" t="inlineStr">
        <is>
          <t xml:space="preserve">Power Automate की हिंदी सीरीज़ का लिंक https://youtube.com/playlist?list=PLTfRAJIKuTE3px_eE3huBt4TRQ6Mv8-nS ...</t>
        </is>
      </c>
      <c r="M14" t="inlineStr">
        <is>
          <t xml:space="preserve">power automate tutorial in hindi</t>
        </is>
      </c>
    </row>
    <row r="15">
      <c r="A15" s="3">
        <v>14</v>
      </c>
      <c r="B15" t="inlineStr">
        <is>
          <t xml:space="preserve">Video</t>
        </is>
      </c>
      <c r="C15" t="inlineStr">
        <is>
          <t xml:space="preserve">Hindi</t>
        </is>
      </c>
      <c r="D15" t="inlineStr">
        <is>
          <t xml:space="preserve">Tutorial</t>
        </is>
      </c>
      <c r="E15" t="inlineStr">
        <is>
          <t xml:space="preserve">Excel, Email/Outlook</t>
        </is>
      </c>
      <c r="F15" t="inlineStr">
        <is>
          <t xml:space="preserve">Microsoft Power Automate शुरुआती लोगों के लिए हिंदी में | Power Automate ट्यूटोरियल | Mail to Excel</t>
        </is>
      </c>
      <c r="G15" t="inlineStr">
        <is>
          <t xml:space="preserve">Learn At Home</t>
        </is>
      </c>
      <c r="H15" s="3">
        <v>17725</v>
      </c>
      <c r="I15" t="inlineStr">
        <is>
          <t xml:space="preserve">4y ago</t>
        </is>
      </c>
      <c r="J15" t="inlineStr">
        <is>
          <t xml:space="preserve">17:05</t>
        </is>
      </c>
      <c r="K15" s="2" t="str">
        <f>HYPERLINK("https://www.youtube.com/watch?v=QL-sC_EyFW8","https://www.youtube.com/watch?v=QL-sC_EyFW8")</f>
        <v>https://www.youtube.com/watch?v=QL-sC_EyFW8</v>
      </c>
      <c r="L15" t="inlineStr">
        <is>
          <t xml:space="preserve">नौकरी संबंधी सहायता चाहिए? यहां क्लिक करें - https://topmate.io/learnathome इस पावर ऑटोमेट हिंदी श्रृंखला में ...</t>
        </is>
      </c>
      <c r="M15" t="inlineStr">
        <is>
          <t xml:space="preserve">power automate tutorial in hindi ; power automate full course hindi ; power automate desktop hindi ; power automate hindi</t>
        </is>
      </c>
    </row>
    <row r="16">
      <c r="A16" s="3">
        <v>15</v>
      </c>
      <c r="B16" t="inlineStr">
        <is>
          <t xml:space="preserve">Video</t>
        </is>
      </c>
      <c r="C16" t="inlineStr">
        <is>
          <t xml:space="preserve">Hindi</t>
        </is>
      </c>
      <c r="D16" t="inlineStr">
        <is>
          <t xml:space="preserve">Tutorial</t>
        </is>
      </c>
      <c r="E16" t="inlineStr">
        <is>
          <t xml:space="preserve">Excel</t>
        </is>
      </c>
      <c r="F16" t="inlineStr">
        <is>
          <t xml:space="preserve">Mastering Excel Power Query Refresh: Automate with VBA and Power Automate! [Hindi]</t>
        </is>
      </c>
      <c r="G16" t="inlineStr">
        <is>
          <t xml:space="preserve">Learn At Home</t>
        </is>
      </c>
      <c r="H16" s="3">
        <v>12056</v>
      </c>
      <c r="I16" t="inlineStr">
        <is>
          <t xml:space="preserve">3y ago</t>
        </is>
      </c>
      <c r="J16" t="inlineStr">
        <is>
          <t xml:space="preserve">8:30</t>
        </is>
      </c>
      <c r="K16" s="2" t="str">
        <f>HYPERLINK("https://www.youtube.com/watch?v=0rv8wP-rNo8","https://www.youtube.com/watch?v=0rv8wP-rNo8")</f>
        <v>https://www.youtube.com/watch?v=0rv8wP-rNo8</v>
      </c>
      <c r="L16" t="inlineStr">
        <is>
          <t xml:space="preserve">Need Personal Help with Power BI, DAX, SQL, Power Automate or Microsoft Fabric? Stuck on a problem? Preparing for an ...</t>
        </is>
      </c>
      <c r="M16" t="inlineStr">
        <is>
          <t xml:space="preserve">power automate hindi ; power automate in hindi</t>
        </is>
      </c>
    </row>
    <row r="17">
      <c r="A17" s="3">
        <v>16</v>
      </c>
      <c r="B17" t="inlineStr">
        <is>
          <t xml:space="preserve">Video</t>
        </is>
      </c>
      <c r="C17" t="inlineStr">
        <is>
          <t xml:space="preserve">Hindi</t>
        </is>
      </c>
      <c r="D17" t="inlineStr">
        <is>
          <t xml:space="preserve">Tutorial</t>
        </is>
      </c>
      <c r="E17" t="inlineStr">
        <is>
          <t xml:space="preserve"/>
        </is>
      </c>
      <c r="F17" t="inlineStr">
        <is>
          <t xml:space="preserve">Microsoft Power Automate हिंदी में सीखें || शुरुआती लोगों के लिए पूरा कोर्स</t>
        </is>
      </c>
      <c r="G17" t="inlineStr">
        <is>
          <t xml:space="preserve">KT Sessions</t>
        </is>
      </c>
      <c r="H17" s="3">
        <v>10142</v>
      </c>
      <c r="I17" t="inlineStr">
        <is>
          <t xml:space="preserve">1y ago</t>
        </is>
      </c>
      <c r="J17" t="inlineStr">
        <is>
          <t xml:space="preserve">47:56</t>
        </is>
      </c>
      <c r="K17" s="2" t="str">
        <f>HYPERLINK("https://www.youtube.com/watch?v=2TKi2t1N_jE","https://www.youtube.com/watch?v=2TKi2t1N_jE")</f>
        <v>https://www.youtube.com/watch?v=2TKi2t1N_jE</v>
      </c>
      <c r="L17" t="inlineStr">
        <is>
          <t xml:space="preserve">क्या वीडियो में आप सीखेंगे माइक्रोसॉफ्ट पावर ऑटोमेट का उपयोग कैसे करें - वो भी सरल हिंदी + अंग्रेजी में। ये ...</t>
        </is>
      </c>
      <c r="M17" t="inlineStr">
        <is>
          <t xml:space="preserve">power automate tutorial in hindi ; power automate full course hindi ; power automate desktop hindi ; power automate hindi ; power automate in hindi</t>
        </is>
      </c>
    </row>
    <row r="18">
      <c r="A18" s="3">
        <v>17</v>
      </c>
      <c r="B18" t="inlineStr">
        <is>
          <t xml:space="preserve">Video</t>
        </is>
      </c>
      <c r="C18" t="inlineStr">
        <is>
          <t xml:space="preserve">Hindi</t>
        </is>
      </c>
      <c r="D18" t="inlineStr">
        <is>
          <t xml:space="preserve">Tutorial</t>
        </is>
      </c>
      <c r="E18" t="inlineStr">
        <is>
          <t xml:space="preserve"/>
        </is>
      </c>
      <c r="F18" t="inlineStr">
        <is>
          <t xml:space="preserve">Power Automate Tutorial | Microsoft Power Automate for Beginners in Hindi | Ms Flow</t>
        </is>
      </c>
      <c r="G18" t="inlineStr">
        <is>
          <t xml:space="preserve">Learn At Home</t>
        </is>
      </c>
      <c r="H18" s="3">
        <v>5302</v>
      </c>
      <c r="I18" t="inlineStr">
        <is>
          <t xml:space="preserve">4y ago</t>
        </is>
      </c>
      <c r="J18" t="inlineStr">
        <is>
          <t xml:space="preserve">20:29</t>
        </is>
      </c>
      <c r="K18" s="2" t="str">
        <f>HYPERLINK("https://www.youtube.com/watch?v=DLwB-VOIwb0","https://www.youtube.com/watch?v=DLwB-VOIwb0")</f>
        <v>https://www.youtube.com/watch?v=DLwB-VOIwb0</v>
      </c>
      <c r="L18" t="inlineStr">
        <is>
          <t xml:space="preserve">🚀 Need Personal Help with Power BI, DAX, SQL, Power Automate or Microsoft Fabric? Stuck on a problem? Preparing for an ...</t>
        </is>
      </c>
      <c r="M18" t="inlineStr">
        <is>
          <t xml:space="preserve">power automate tutorial in hindi ; power automate full course hindi ; power automate in hindi</t>
        </is>
      </c>
    </row>
    <row r="19">
      <c r="A19" s="3">
        <v>18</v>
      </c>
      <c r="B19" t="inlineStr">
        <is>
          <t xml:space="preserve">Video</t>
        </is>
      </c>
      <c r="C19" t="inlineStr">
        <is>
          <t xml:space="preserve">Hindi</t>
        </is>
      </c>
      <c r="D19" t="inlineStr">
        <is>
          <t xml:space="preserve">Tutorial</t>
        </is>
      </c>
      <c r="E19" t="inlineStr">
        <is>
          <t xml:space="preserve">Desktop/RPA</t>
        </is>
      </c>
      <c r="F19" t="inlineStr">
        <is>
          <t xml:space="preserve">How to use Microsoft Power Automate Desktop - Full tutorial in Hindi</t>
        </is>
      </c>
      <c r="G19" t="inlineStr">
        <is>
          <t xml:space="preserve">Learn At Home</t>
        </is>
      </c>
      <c r="H19" s="3">
        <v>2699</v>
      </c>
      <c r="I19" t="inlineStr">
        <is>
          <t xml:space="preserve">4y ago</t>
        </is>
      </c>
      <c r="J19" t="inlineStr">
        <is>
          <t xml:space="preserve">10:33</t>
        </is>
      </c>
      <c r="K19" s="2" t="str">
        <f>HYPERLINK("https://www.youtube.com/watch?v=ORAw_w9CQXU","https://www.youtube.com/watch?v=ORAw_w9CQXU")</f>
        <v>https://www.youtube.com/watch?v=ORAw_w9CQXU</v>
      </c>
      <c r="L19" t="inlineStr">
        <is>
          <t xml:space="preserve">Need Personal Help with Power BI, DAX, SQL, Power Automate or Microsoft Fabric? Stuck on a problem? Preparing for an ...</t>
        </is>
      </c>
      <c r="M19" t="inlineStr">
        <is>
          <t xml:space="preserve">power automate desktop hindi ; power automate hindi ; power automate desktop bangla</t>
        </is>
      </c>
    </row>
    <row r="20">
      <c r="A20" s="3">
        <v>19</v>
      </c>
      <c r="B20" t="inlineStr">
        <is>
          <t xml:space="preserve">Video</t>
        </is>
      </c>
      <c r="C20" t="inlineStr">
        <is>
          <t xml:space="preserve">Hindi</t>
        </is>
      </c>
      <c r="D20" t="inlineStr">
        <is>
          <t xml:space="preserve">Tutorial</t>
        </is>
      </c>
      <c r="E20" t="inlineStr">
        <is>
          <t xml:space="preserve"/>
        </is>
      </c>
      <c r="F20" t="inlineStr">
        <is>
          <t xml:space="preserve">पॉवर ऑटोमेट का परिचय और डायनेमिक्स 365 में इसकी भूमिका - जय पटेल द्वारा</t>
        </is>
      </c>
      <c r="G20" t="inlineStr">
        <is>
          <t xml:space="preserve">JV UNIVERSE</t>
        </is>
      </c>
      <c r="H20" s="3">
        <v>2449</v>
      </c>
      <c r="I20" t="inlineStr">
        <is>
          <t xml:space="preserve">9mo ago</t>
        </is>
      </c>
      <c r="J20" t="inlineStr">
        <is>
          <t xml:space="preserve">16:49</t>
        </is>
      </c>
      <c r="K20" s="2" t="str">
        <f>HYPERLINK("https://www.youtube.com/watch?v=wli9mOjkzQM","https://www.youtube.com/watch?v=wli9mOjkzQM")</f>
        <v>https://www.youtube.com/watch?v=wli9mOjkzQM</v>
      </c>
      <c r="L20" t="inlineStr">
        <is>
          <t xml:space="preserve">Dynamics 365 CRM के साथ काम करने वाले किसी भी व्यक्ति के लिए Power Automate एक आवश्यक कौशल बन गया है। Dynamics 365 ...</t>
        </is>
      </c>
      <c r="M20" t="inlineStr">
        <is>
          <t xml:space="preserve">power automate in hindi</t>
        </is>
      </c>
    </row>
    <row r="21">
      <c r="A21" s="3">
        <v>20</v>
      </c>
      <c r="B21" t="inlineStr">
        <is>
          <t xml:space="preserve">Video</t>
        </is>
      </c>
      <c r="C21" t="inlineStr">
        <is>
          <t xml:space="preserve">Hindi</t>
        </is>
      </c>
      <c r="D21" t="inlineStr">
        <is>
          <t xml:space="preserve">Tutorial</t>
        </is>
      </c>
      <c r="E21" t="inlineStr">
        <is>
          <t xml:space="preserve">Excel</t>
        </is>
      </c>
      <c r="F21" t="inlineStr">
        <is>
          <t xml:space="preserve">Effortlessly Manage Excel Data Using Power Automate [Hindi] - Add, Update, and Delete Rows Tutorial</t>
        </is>
      </c>
      <c r="G21" t="inlineStr">
        <is>
          <t xml:space="preserve">Learn At Home</t>
        </is>
      </c>
      <c r="H21" s="3">
        <v>1262</v>
      </c>
      <c r="I21" t="inlineStr">
        <is>
          <t xml:space="preserve">2y ago</t>
        </is>
      </c>
      <c r="J21" t="inlineStr">
        <is>
          <t xml:space="preserve">16:49</t>
        </is>
      </c>
      <c r="K21" s="2" t="str">
        <f>HYPERLINK("https://www.youtube.com/watch?v=lspAOI_NbCk","https://www.youtube.com/watch?v=lspAOI_NbCk")</f>
        <v>https://www.youtube.com/watch?v=lspAOI_NbCk</v>
      </c>
      <c r="L21" t="inlineStr">
        <is>
          <t xml:space="preserve">Need Personal Help with Power BI, DAX, SQL, Power Automate or Microsoft Fabric? Stuck on a problem? Preparing for an ...</t>
        </is>
      </c>
      <c r="M21" t="inlineStr">
        <is>
          <t xml:space="preserve">power automate in hindi</t>
        </is>
      </c>
    </row>
  </sheetData>
  <autoFilter ref="A1:M21"/>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5" customWidth="1"/>
    <col min="2" max="2" width="9" customWidth="1"/>
    <col min="3" max="3" width="10" customWidth="1"/>
    <col min="4" max="4" width="18" customWidth="1"/>
    <col min="5" max="5" width="24" customWidth="1"/>
    <col min="6" max="6" width="60" customWidth="1"/>
    <col min="7" max="7" width="26" customWidth="1"/>
    <col min="8" max="8" width="12" customWidth="1"/>
    <col min="9" max="9" width="16" customWidth="1"/>
    <col min="10" max="10" width="14" customWidth="1"/>
    <col min="11" max="11" width="48" customWidth="1"/>
    <col min="12" max="12" width="70" customWidth="1"/>
    <col min="13" max="13" width="40" customWidth="1"/>
  </cols>
  <sheetData>
    <row r="1">
      <c r="A1" s="1" t="inlineStr">
        <is>
          <t>#</t>
        </is>
      </c>
      <c r="B1" s="1" t="inlineStr">
        <is>
          <t>Type</t>
        </is>
      </c>
      <c r="C1" s="1" t="inlineStr">
        <is>
          <t>Language</t>
        </is>
      </c>
      <c r="D1" s="1" t="inlineStr">
        <is>
          <t>Category</t>
        </is>
      </c>
      <c r="E1" s="1" t="inlineStr">
        <is>
          <t>Topic Areas</t>
        </is>
      </c>
      <c r="F1" s="1" t="inlineStr">
        <is>
          <t>Title</t>
        </is>
      </c>
      <c r="G1" s="1" t="inlineStr">
        <is>
          <t>Channel</t>
        </is>
      </c>
      <c r="H1" s="1" t="inlineStr">
        <is>
          <t>Views</t>
        </is>
      </c>
      <c r="I1" s="1" t="inlineStr">
        <is>
          <t>Published</t>
        </is>
      </c>
      <c r="J1" s="1" t="inlineStr">
        <is>
          <t>Duration / Videos</t>
        </is>
      </c>
      <c r="K1" s="1" t="inlineStr">
        <is>
          <t>Link</t>
        </is>
      </c>
      <c r="L1" s="1" t="inlineStr">
        <is>
          <t>Description (snippet)</t>
        </is>
      </c>
      <c r="M1" s="1" t="inlineStr">
        <is>
          <t>Found via search</t>
        </is>
      </c>
    </row>
    <row r="2">
      <c r="A2" s="3">
        <v>1</v>
      </c>
      <c r="B2" t="inlineStr">
        <is>
          <t xml:space="preserve">Video</t>
        </is>
      </c>
      <c r="C2" t="inlineStr">
        <is>
          <t xml:space="preserve">Bangla</t>
        </is>
      </c>
      <c r="D2" t="inlineStr">
        <is>
          <t xml:space="preserve">Project / Use case</t>
        </is>
      </c>
      <c r="E2" t="inlineStr">
        <is>
          <t xml:space="preserve"/>
        </is>
      </c>
      <c r="F2" t="inlineStr">
        <is>
          <t xml:space="preserve">পাওয়ার বিআই সম্পূর্ণ বাংলা টিউটোরিয়াল | সম্পূর্ণ পাওয়ার বিআই টিউটোরিয়াল বাংলায়</t>
        </is>
      </c>
      <c r="G2" t="inlineStr">
        <is>
          <t xml:space="preserve">Rayhan Tanjim</t>
        </is>
      </c>
      <c r="H2" s="3">
        <v>20299</v>
      </c>
      <c r="I2" t="inlineStr">
        <is>
          <t xml:space="preserve">8mo ago</t>
        </is>
      </c>
      <c r="J2" t="inlineStr">
        <is>
          <t xml:space="preserve">18:08</t>
        </is>
      </c>
      <c r="K2" s="2" t="str">
        <f>HYPERLINK("https://www.youtube.com/watch?v=fZQ-OSQ_ZxM","https://www.youtube.com/watch?v=fZQ-OSQ_ZxM")</f>
        <v>https://www.youtube.com/watch?v=fZQ-OSQ_ZxM</v>
      </c>
      <c r="L2" t="inlineStr">
        <is>
          <t xml:space="preserve">Power BI Full Bangla Tutorial | Complete Power BI Tutorial in Bangla ✅ আমার কোর্স সম্পর্কে জানতে Whatsapp করুনঃ +8801515 ...</t>
        </is>
      </c>
      <c r="M2" t="inlineStr">
        <is>
          <t xml:space="preserve">power automate bangla ; microsoft power automate bangla tutorial</t>
        </is>
      </c>
    </row>
    <row r="3">
      <c r="A3" s="3">
        <v>2</v>
      </c>
      <c r="B3" t="inlineStr">
        <is>
          <t xml:space="preserve">Playlist</t>
        </is>
      </c>
      <c r="C3" t="inlineStr">
        <is>
          <t xml:space="preserve">Bangla</t>
        </is>
      </c>
      <c r="D3" t="inlineStr">
        <is>
          <t xml:space="preserve">Project / Use case</t>
        </is>
      </c>
      <c r="E3" t="inlineStr">
        <is>
          <t xml:space="preserve">AI/Copilot</t>
        </is>
      </c>
      <c r="F3" t="inlineStr">
        <is>
          <t xml:space="preserve">AI Automation Full Course Bangla (N8N)</t>
        </is>
      </c>
      <c r="G3" t="inlineStr">
        <is>
          <t xml:space="preserve">Atiqur Siam</t>
        </is>
      </c>
      <c r="H3" t="inlineStr">
        <is>
          <t xml:space="preserve"/>
        </is>
      </c>
      <c r="I3" t="inlineStr">
        <is>
          <t xml:space="preserve"/>
        </is>
      </c>
      <c r="J3" t="inlineStr">
        <is>
          <t xml:space="preserve">40 videos</t>
        </is>
      </c>
      <c r="K3" s="2" t="str">
        <f>HYPERLINK("https://www.youtube.com/playlist?list=PLes_An_ceiEjmWdbwZq4imYAabnh3Etce","https://www.youtube.com/playlist?list=PLes_An_ceiEjmWdbwZq4imYAabnh3Etce")</f>
        <v>https://www.youtube.com/playlist?list=PLes_An_ceiEjmWdbwZq4imYAabnh3Etce</v>
      </c>
      <c r="L3" t="inlineStr">
        <is>
          <t xml:space="preserve">Playlist | Why You Need to Learn n8n in 2026 | Complete Automation Bangla Tutorial · 4:16 | Learn AI Agents &amp; Workflow in 2026 | সহজভাবে শিখুন AI System (Part 1) · 2:42 | View full playlist | AI Automation Course Bangla for Beginners | শূন্য থেকে বাস্তব স্কিল শেখার সম্পূর্ণ গাইড আপনি কি AI Automatio</t>
        </is>
      </c>
      <c r="M3" t="inlineStr">
        <is>
          <t xml:space="preserve">power automate tutorial bangla ; power automate bangla</t>
        </is>
      </c>
    </row>
    <row r="4">
      <c r="A4" s="3">
        <v>3</v>
      </c>
      <c r="B4" t="inlineStr">
        <is>
          <t xml:space="preserve">Video</t>
        </is>
      </c>
      <c r="C4" t="inlineStr">
        <is>
          <t xml:space="preserve">Bangla</t>
        </is>
      </c>
      <c r="D4" t="inlineStr">
        <is>
          <t xml:space="preserve">Certification</t>
        </is>
      </c>
      <c r="E4" t="inlineStr">
        <is>
          <t xml:space="preserve"/>
        </is>
      </c>
      <c r="F4" t="inlineStr">
        <is>
          <t xml:space="preserve">অটো ইমেইলে অটো অ্যাটাচমেন্ট সব পিডিএফ ফাইল । NU Exam Power Automate Tutorial in Bangla</t>
        </is>
      </c>
      <c r="G4" t="inlineStr">
        <is>
          <t xml:space="preserve">Fazlul Haque</t>
        </is>
      </c>
      <c r="H4" s="3">
        <v>362</v>
      </c>
      <c r="I4" t="inlineStr">
        <is>
          <t xml:space="preserve">3y ago</t>
        </is>
      </c>
      <c r="J4" t="inlineStr">
        <is>
          <t xml:space="preserve">23:48</t>
        </is>
      </c>
      <c r="K4" s="2" t="str">
        <f>HYPERLINK("https://www.youtube.com/watch?v=CxD023gnVYM","https://www.youtube.com/watch?v=CxD023gnVYM")</f>
        <v>https://www.youtube.com/watch?v=CxD023gnVYM</v>
      </c>
      <c r="L4" t="inlineStr">
        <is>
          <t xml:space="preserve">অটো ডাউনলোড থেকে শুরু করে কাঙ্খিত ব্যক্তির কাছে অটোমেটিক্যালি সকল ...</t>
        </is>
      </c>
      <c r="M4" t="inlineStr">
        <is>
          <t xml:space="preserve">power automate tutorial bangla ; power automate bangla ; microsoft power automate bangla tutorial ; পাওয়ার অটোমেট</t>
        </is>
      </c>
    </row>
    <row r="5">
      <c r="A5" s="3">
        <v>4</v>
      </c>
      <c r="B5" t="inlineStr">
        <is>
          <t xml:space="preserve">Video</t>
        </is>
      </c>
      <c r="C5" t="inlineStr">
        <is>
          <t xml:space="preserve">Bangla</t>
        </is>
      </c>
      <c r="D5" t="inlineStr">
        <is>
          <t xml:space="preserve">Tutorial</t>
        </is>
      </c>
      <c r="E5" t="inlineStr">
        <is>
          <t xml:space="preserve">AI/Copilot</t>
        </is>
      </c>
      <c r="F5" t="inlineStr">
        <is>
          <t xml:space="preserve">Complete AI Automation using n8n | Build Your First Automation From Scratch in Bangla</t>
        </is>
      </c>
      <c r="G5" t="inlineStr">
        <is>
          <t xml:space="preserve">Ali Hossain</t>
        </is>
      </c>
      <c r="H5" s="3">
        <v>247385</v>
      </c>
      <c r="I5" t="inlineStr">
        <is>
          <t xml:space="preserve">9mo ago</t>
        </is>
      </c>
      <c r="J5" t="inlineStr">
        <is>
          <t xml:space="preserve">1:07:29</t>
        </is>
      </c>
      <c r="K5" s="2" t="str">
        <f>HYPERLINK("https://www.youtube.com/watch?v=ALde_wE8D8w","https://www.youtube.com/watch?v=ALde_wE8D8w")</f>
        <v>https://www.youtube.com/watch?v=ALde_wE8D8w</v>
      </c>
      <c r="L5" t="inlineStr">
        <is>
          <t xml:space="preserve">Do you feel like you spend more time managing tasks than actually doing them? Repetitive workflows can drain your productivity ...</t>
        </is>
      </c>
      <c r="M5" t="inlineStr">
        <is>
          <t xml:space="preserve">power automate tutorial bangla</t>
        </is>
      </c>
    </row>
    <row r="6">
      <c r="A6" s="3">
        <v>5</v>
      </c>
      <c r="B6" t="inlineStr">
        <is>
          <t xml:space="preserve">Video</t>
        </is>
      </c>
      <c r="C6" t="inlineStr">
        <is>
          <t xml:space="preserve">Bangla</t>
        </is>
      </c>
      <c r="D6" t="inlineStr">
        <is>
          <t xml:space="preserve">Tutorial</t>
        </is>
      </c>
      <c r="E6" t="inlineStr">
        <is>
          <t xml:space="preserve"/>
        </is>
      </c>
      <c r="F6" t="inlineStr">
        <is>
          <t xml:space="preserve">YX850 অটো পাওয়ার Failure সুইচিং সার্কিট || YX850 Auto Power Failure Switching Circuit</t>
        </is>
      </c>
      <c r="G6" t="inlineStr">
        <is>
          <t xml:space="preserve">EST Programming</t>
        </is>
      </c>
      <c r="H6" s="3">
        <v>20578</v>
      </c>
      <c r="I6" t="inlineStr">
        <is>
          <t xml:space="preserve">2y ago</t>
        </is>
      </c>
      <c r="J6" t="inlineStr">
        <is>
          <t xml:space="preserve">11:23</t>
        </is>
      </c>
      <c r="K6" s="2" t="str">
        <f>HYPERLINK("https://www.youtube.com/watch?v=p1rELohNmHQ","https://www.youtube.com/watch?v=p1rELohNmHQ")</f>
        <v>https://www.youtube.com/watch?v=p1rELohNmHQ</v>
      </c>
      <c r="L6" t="inlineStr">
        <is>
          <t xml:space="preserve">Welcome to our channel where we delve into the fascinating world of electronics! In this video, we're exploring the YX850 Auto ...</t>
        </is>
      </c>
      <c r="M6" t="inlineStr">
        <is>
          <t xml:space="preserve">power automate bangla</t>
        </is>
      </c>
    </row>
    <row r="7">
      <c r="A7" s="3">
        <v>6</v>
      </c>
      <c r="B7" t="inlineStr">
        <is>
          <t xml:space="preserve">Video</t>
        </is>
      </c>
      <c r="C7" t="inlineStr">
        <is>
          <t xml:space="preserve">Bangla</t>
        </is>
      </c>
      <c r="D7" t="inlineStr">
        <is>
          <t xml:space="preserve">Tutorial</t>
        </is>
      </c>
      <c r="E7" t="inlineStr">
        <is>
          <t xml:space="preserve"/>
        </is>
      </c>
      <c r="F7" t="inlineStr">
        <is>
          <t xml:space="preserve">Refresh Power BI With power automate বাংলা</t>
        </is>
      </c>
      <c r="G7" t="inlineStr">
        <is>
          <t xml:space="preserve">Masum Billah</t>
        </is>
      </c>
      <c r="H7" s="3">
        <v>355</v>
      </c>
      <c r="I7" t="inlineStr">
        <is>
          <t xml:space="preserve">3y ago</t>
        </is>
      </c>
      <c r="J7" t="inlineStr">
        <is>
          <t xml:space="preserve">4:07</t>
        </is>
      </c>
      <c r="K7" s="2" t="str">
        <f>HYPERLINK("https://www.youtube.com/watch?v=o79f8Jj3H_g","https://www.youtube.com/watch?v=o79f8Jj3H_g")</f>
        <v>https://www.youtube.com/watch?v=o79f8Jj3H_g</v>
      </c>
      <c r="L7" t="inlineStr">
        <is>
          <t xml:space="preserve">Power BI dataset refresh with click of a button making data flow command by power automate any user can make refresh of the ...</t>
        </is>
      </c>
      <c r="M7" t="inlineStr">
        <is>
          <t xml:space="preserve">power automate bangla ; microsoft power automate bangla tutorial</t>
        </is>
      </c>
    </row>
    <row r="8">
      <c r="A8" s="3">
        <v>7</v>
      </c>
      <c r="B8" t="inlineStr">
        <is>
          <t xml:space="preserve">Video</t>
        </is>
      </c>
      <c r="C8" t="inlineStr">
        <is>
          <t xml:space="preserve">Bangla</t>
        </is>
      </c>
      <c r="D8" t="inlineStr">
        <is>
          <t xml:space="preserve">Tutorial</t>
        </is>
      </c>
      <c r="E8" t="inlineStr">
        <is>
          <t xml:space="preserve"/>
        </is>
      </c>
      <c r="F8" t="inlineStr">
        <is>
          <t xml:space="preserve">কম্পিউটার অটমেশন অটো লগ ইন লগ আউট  জাতীয় বিশ্বঃ পরীক্ষা পরিচালনা ।Power Automate in Bangla P-01</t>
        </is>
      </c>
      <c r="G8" t="inlineStr">
        <is>
          <t xml:space="preserve">Fazlul Haque</t>
        </is>
      </c>
      <c r="H8" s="3">
        <v>257</v>
      </c>
      <c r="I8" t="inlineStr">
        <is>
          <t xml:space="preserve">3y ago</t>
        </is>
      </c>
      <c r="J8" t="inlineStr">
        <is>
          <t xml:space="preserve">19:27</t>
        </is>
      </c>
      <c r="K8" s="2" t="str">
        <f>HYPERLINK("https://www.youtube.com/watch?v=UH2jcQyJHxA","https://www.youtube.com/watch?v=UH2jcQyJHxA")</f>
        <v>https://www.youtube.com/watch?v=UH2jcQyJHxA</v>
      </c>
      <c r="L8" t="inlineStr">
        <is>
          <t xml:space="preserve">মাইক্রোসফট পাওয়ার অটোমেট মাধ্যমে অনায়াসেই স্বয়ংক্রিয়ভাবে ...</t>
        </is>
      </c>
      <c r="M8" t="inlineStr">
        <is>
          <t xml:space="preserve">power automate bangla</t>
        </is>
      </c>
    </row>
  </sheetData>
  <autoFilter ref="A1:M8"/>
</worksheet>
</file>